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coudevi\Documents\covid vaccine (public)\input\"/>
    </mc:Choice>
  </mc:AlternateContent>
  <xr:revisionPtr revIDLastSave="0" documentId="13_ncr:1_{AF8AD335-D1D1-4377-966F-F12E5C18E11B}" xr6:coauthVersionLast="45" xr6:coauthVersionMax="45" xr10:uidLastSave="{00000000-0000-0000-0000-000000000000}"/>
  <bookViews>
    <workbookView xWindow="28680" yWindow="-120" windowWidth="29040" windowHeight="15840" firstSheet="6" activeTab="10" xr2:uid="{00000000-000D-0000-FFFF-FFFF00000000}"/>
  </bookViews>
  <sheets>
    <sheet name="Calibrated" sheetId="20" r:id="rId1"/>
    <sheet name="distancing_age" sheetId="23" r:id="rId2"/>
    <sheet name="lag" sheetId="30" r:id="rId3"/>
    <sheet name="demo" sheetId="5" r:id="rId4"/>
    <sheet name="mortality" sheetId="11" r:id="rId5"/>
    <sheet name="birth" sheetId="10" r:id="rId6"/>
    <sheet name="contact" sheetId="4" r:id="rId7"/>
    <sheet name="poi" sheetId="3" r:id="rId8"/>
    <sheet name="variant" sheetId="35" r:id="rId9"/>
    <sheet name="NPI" sheetId="17" r:id="rId10"/>
    <sheet name="disease" sheetId="6" r:id="rId11"/>
    <sheet name="vaccine" sheetId="25" r:id="rId12"/>
    <sheet name="program" sheetId="26" r:id="rId13"/>
    <sheet name="routine_start" sheetId="28" r:id="rId14"/>
    <sheet name="routine" sheetId="27" r:id="rId15"/>
    <sheet name="cohort" sheetId="29" r:id="rId16"/>
    <sheet name="Launch_ctry" sheetId="22" r:id="rId17"/>
    <sheet name="Feuil1" sheetId="33" r:id="rId18"/>
    <sheet name="Launch_vac" sheetId="24" r:id="rId19"/>
    <sheet name="final scenarios" sheetId="32" r:id="rId20"/>
    <sheet name="Feuil2" sheetId="34" r:id="rId21"/>
  </sheets>
  <functionGroups builtInGroupCount="19"/>
  <definedNames>
    <definedName name="_xlnm._FilterDatabase" localSheetId="20" hidden="1">Feuil2!$C$1:$Y$202</definedName>
    <definedName name="_xlnm._FilterDatabase" localSheetId="19" hidden="1">'final scenarios'!$C$1:$I$42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8" i="20" l="1"/>
  <c r="H44" i="20"/>
  <c r="D156" i="35" l="1"/>
  <c r="D208" i="35" s="1"/>
  <c r="D260" i="35" s="1"/>
  <c r="D152" i="35"/>
  <c r="D204" i="35" s="1"/>
  <c r="D256" i="35" s="1"/>
  <c r="D148" i="35"/>
  <c r="D200" i="35" s="1"/>
  <c r="D252" i="35" s="1"/>
  <c r="D144" i="35"/>
  <c r="D196" i="35" s="1"/>
  <c r="D248" i="35" s="1"/>
  <c r="D140" i="35"/>
  <c r="D192" i="35" s="1"/>
  <c r="D244" i="35" s="1"/>
  <c r="D136" i="35"/>
  <c r="D188" i="35" s="1"/>
  <c r="D240" i="35" s="1"/>
  <c r="D132" i="35"/>
  <c r="D184" i="35" s="1"/>
  <c r="D236" i="35" s="1"/>
  <c r="D128" i="35"/>
  <c r="D180" i="35" s="1"/>
  <c r="D232" i="35" s="1"/>
  <c r="D124" i="35"/>
  <c r="D176" i="35" s="1"/>
  <c r="D228" i="35" s="1"/>
  <c r="D120" i="35"/>
  <c r="D172" i="35" s="1"/>
  <c r="D224" i="35" s="1"/>
  <c r="D116" i="35"/>
  <c r="D168" i="35" s="1"/>
  <c r="D220" i="35" s="1"/>
  <c r="D112" i="35"/>
  <c r="D164" i="35" s="1"/>
  <c r="D216" i="35" s="1"/>
  <c r="D108" i="35"/>
  <c r="D160" i="35" s="1"/>
  <c r="D212" i="35" s="1"/>
  <c r="D106" i="35"/>
  <c r="D158" i="35" s="1"/>
  <c r="D210" i="35" s="1"/>
  <c r="C106" i="35"/>
  <c r="C107" i="35" s="1"/>
  <c r="C108" i="35" s="1"/>
  <c r="C109" i="35" s="1"/>
  <c r="C110" i="35" s="1"/>
  <c r="C111" i="35" s="1"/>
  <c r="C112" i="35" s="1"/>
  <c r="C113" i="35" s="1"/>
  <c r="C114" i="35" s="1"/>
  <c r="C115" i="35" s="1"/>
  <c r="C116" i="35" s="1"/>
  <c r="C117" i="35" s="1"/>
  <c r="C118" i="35" s="1"/>
  <c r="C119" i="35" s="1"/>
  <c r="C120" i="35" s="1"/>
  <c r="C121" i="35" s="1"/>
  <c r="C122" i="35" s="1"/>
  <c r="C123" i="35" s="1"/>
  <c r="C124" i="35" s="1"/>
  <c r="C125" i="35" s="1"/>
  <c r="C126" i="35" s="1"/>
  <c r="C127" i="35" s="1"/>
  <c r="C128" i="35" s="1"/>
  <c r="C129" i="35" s="1"/>
  <c r="C130" i="35" s="1"/>
  <c r="C131" i="35" s="1"/>
  <c r="C132" i="35" s="1"/>
  <c r="C133" i="35" s="1"/>
  <c r="C134" i="35" s="1"/>
  <c r="C135" i="35" s="1"/>
  <c r="C136" i="35" s="1"/>
  <c r="C137" i="35" s="1"/>
  <c r="C138" i="35" s="1"/>
  <c r="C139" i="35" s="1"/>
  <c r="C140" i="35" s="1"/>
  <c r="C141" i="35" s="1"/>
  <c r="C142" i="35" s="1"/>
  <c r="C143" i="35" s="1"/>
  <c r="C144" i="35" s="1"/>
  <c r="C145" i="35" s="1"/>
  <c r="C146" i="35" s="1"/>
  <c r="C147" i="35" s="1"/>
  <c r="C148" i="35" s="1"/>
  <c r="C149" i="35" s="1"/>
  <c r="C150" i="35" s="1"/>
  <c r="C151" i="35" s="1"/>
  <c r="C152" i="35" s="1"/>
  <c r="C153" i="35" s="1"/>
  <c r="C154" i="35" s="1"/>
  <c r="C155" i="35" s="1"/>
  <c r="C156" i="35" s="1"/>
  <c r="C157" i="35" s="1"/>
  <c r="C158" i="35" s="1"/>
  <c r="C159" i="35" s="1"/>
  <c r="C160" i="35" s="1"/>
  <c r="C161" i="35" s="1"/>
  <c r="C162" i="35" s="1"/>
  <c r="C163" i="35" s="1"/>
  <c r="C164" i="35" s="1"/>
  <c r="C165" i="35" s="1"/>
  <c r="C166" i="35" s="1"/>
  <c r="C167" i="35" s="1"/>
  <c r="C168" i="35" s="1"/>
  <c r="C169" i="35" s="1"/>
  <c r="C170" i="35" s="1"/>
  <c r="C171" i="35" s="1"/>
  <c r="C172" i="35" s="1"/>
  <c r="C173" i="35" s="1"/>
  <c r="C174" i="35" s="1"/>
  <c r="C175" i="35" s="1"/>
  <c r="C176" i="35" s="1"/>
  <c r="C177" i="35" s="1"/>
  <c r="C178" i="35" s="1"/>
  <c r="C179" i="35" s="1"/>
  <c r="C180" i="35" s="1"/>
  <c r="C181" i="35" s="1"/>
  <c r="C182" i="35" s="1"/>
  <c r="C183" i="35" s="1"/>
  <c r="C184" i="35" s="1"/>
  <c r="C185" i="35" s="1"/>
  <c r="C186" i="35" s="1"/>
  <c r="C187" i="35" s="1"/>
  <c r="C188" i="35" s="1"/>
  <c r="C189" i="35" s="1"/>
  <c r="C190" i="35" s="1"/>
  <c r="C191" i="35" s="1"/>
  <c r="C192" i="35" s="1"/>
  <c r="C193" i="35" s="1"/>
  <c r="C194" i="35" s="1"/>
  <c r="C195" i="35" s="1"/>
  <c r="C196" i="35" s="1"/>
  <c r="C197" i="35" s="1"/>
  <c r="C198" i="35" s="1"/>
  <c r="C199" i="35" s="1"/>
  <c r="C200" i="35" s="1"/>
  <c r="C201" i="35" s="1"/>
  <c r="C202" i="35" s="1"/>
  <c r="C203" i="35" s="1"/>
  <c r="C204" i="35" s="1"/>
  <c r="C205" i="35" s="1"/>
  <c r="C206" i="35" s="1"/>
  <c r="C207" i="35" s="1"/>
  <c r="C208" i="35" s="1"/>
  <c r="C209" i="35" s="1"/>
  <c r="C210" i="35" s="1"/>
  <c r="C211" i="35" s="1"/>
  <c r="C212" i="35" s="1"/>
  <c r="C213" i="35" s="1"/>
  <c r="C214" i="35" s="1"/>
  <c r="C215" i="35" s="1"/>
  <c r="C216" i="35" s="1"/>
  <c r="C217" i="35" s="1"/>
  <c r="C218" i="35" s="1"/>
  <c r="C219" i="35" s="1"/>
  <c r="C220" i="35" s="1"/>
  <c r="C221" i="35" s="1"/>
  <c r="C222" i="35" s="1"/>
  <c r="C223" i="35" s="1"/>
  <c r="C224" i="35" s="1"/>
  <c r="C225" i="35" s="1"/>
  <c r="C226" i="35" s="1"/>
  <c r="C227" i="35" s="1"/>
  <c r="C228" i="35" s="1"/>
  <c r="C229" i="35" s="1"/>
  <c r="C230" i="35" s="1"/>
  <c r="C231" i="35" s="1"/>
  <c r="C232" i="35" s="1"/>
  <c r="C233" i="35" s="1"/>
  <c r="C234" i="35" s="1"/>
  <c r="C235" i="35" s="1"/>
  <c r="C236" i="35" s="1"/>
  <c r="C237" i="35" s="1"/>
  <c r="C238" i="35" s="1"/>
  <c r="C239" i="35" s="1"/>
  <c r="C240" i="35" s="1"/>
  <c r="C241" i="35" s="1"/>
  <c r="C242" i="35" s="1"/>
  <c r="C243" i="35" s="1"/>
  <c r="C244" i="35" s="1"/>
  <c r="C245" i="35" s="1"/>
  <c r="C246" i="35" s="1"/>
  <c r="C247" i="35" s="1"/>
  <c r="C248" i="35" s="1"/>
  <c r="C249" i="35" s="1"/>
  <c r="C250" i="35" s="1"/>
  <c r="C251" i="35" s="1"/>
  <c r="C252" i="35" s="1"/>
  <c r="C253" i="35" s="1"/>
  <c r="C254" i="35" s="1"/>
  <c r="C255" i="35" s="1"/>
  <c r="C256" i="35" s="1"/>
  <c r="C257" i="35" s="1"/>
  <c r="C258" i="35" s="1"/>
  <c r="C259" i="35" s="1"/>
  <c r="C260" i="35" s="1"/>
  <c r="C261" i="35" s="1"/>
  <c r="D105" i="35"/>
  <c r="D157" i="35" s="1"/>
  <c r="D209" i="35" s="1"/>
  <c r="D261" i="35" s="1"/>
  <c r="D104" i="35"/>
  <c r="D103" i="35"/>
  <c r="D155" i="35" s="1"/>
  <c r="D207" i="35" s="1"/>
  <c r="D259" i="35" s="1"/>
  <c r="D102" i="35"/>
  <c r="D154" i="35" s="1"/>
  <c r="D206" i="35" s="1"/>
  <c r="D258" i="35" s="1"/>
  <c r="D101" i="35"/>
  <c r="D153" i="35" s="1"/>
  <c r="D205" i="35" s="1"/>
  <c r="D257" i="35" s="1"/>
  <c r="D100" i="35"/>
  <c r="D99" i="35"/>
  <c r="D151" i="35" s="1"/>
  <c r="D203" i="35" s="1"/>
  <c r="D255" i="35" s="1"/>
  <c r="D98" i="35"/>
  <c r="D150" i="35" s="1"/>
  <c r="D202" i="35" s="1"/>
  <c r="D254" i="35" s="1"/>
  <c r="D97" i="35"/>
  <c r="D149" i="35" s="1"/>
  <c r="D201" i="35" s="1"/>
  <c r="D253" i="35" s="1"/>
  <c r="D96" i="35"/>
  <c r="D95" i="35"/>
  <c r="D147" i="35" s="1"/>
  <c r="D199" i="35" s="1"/>
  <c r="D251" i="35" s="1"/>
  <c r="D94" i="35"/>
  <c r="D146" i="35" s="1"/>
  <c r="D198" i="35" s="1"/>
  <c r="D250" i="35" s="1"/>
  <c r="D93" i="35"/>
  <c r="D145" i="35" s="1"/>
  <c r="D197" i="35" s="1"/>
  <c r="D249" i="35" s="1"/>
  <c r="D92" i="35"/>
  <c r="D91" i="35"/>
  <c r="D143" i="35" s="1"/>
  <c r="D195" i="35" s="1"/>
  <c r="D247" i="35" s="1"/>
  <c r="D90" i="35"/>
  <c r="D142" i="35" s="1"/>
  <c r="D194" i="35" s="1"/>
  <c r="D246" i="35" s="1"/>
  <c r="D89" i="35"/>
  <c r="D141" i="35" s="1"/>
  <c r="D193" i="35" s="1"/>
  <c r="D245" i="35" s="1"/>
  <c r="D88" i="35"/>
  <c r="D87" i="35"/>
  <c r="D139" i="35" s="1"/>
  <c r="D191" i="35" s="1"/>
  <c r="D243" i="35" s="1"/>
  <c r="D86" i="35"/>
  <c r="D138" i="35" s="1"/>
  <c r="D190" i="35" s="1"/>
  <c r="D242" i="35" s="1"/>
  <c r="D85" i="35"/>
  <c r="D137" i="35" s="1"/>
  <c r="D189" i="35" s="1"/>
  <c r="D241" i="35" s="1"/>
  <c r="D84" i="35"/>
  <c r="D83" i="35"/>
  <c r="D135" i="35" s="1"/>
  <c r="D187" i="35" s="1"/>
  <c r="D239" i="35" s="1"/>
  <c r="D82" i="35"/>
  <c r="D134" i="35" s="1"/>
  <c r="D186" i="35" s="1"/>
  <c r="D238" i="35" s="1"/>
  <c r="D81" i="35"/>
  <c r="D133" i="35" s="1"/>
  <c r="D185" i="35" s="1"/>
  <c r="D237" i="35" s="1"/>
  <c r="D80" i="35"/>
  <c r="D79" i="35"/>
  <c r="D131" i="35" s="1"/>
  <c r="D183" i="35" s="1"/>
  <c r="D235" i="35" s="1"/>
  <c r="D78" i="35"/>
  <c r="D130" i="35" s="1"/>
  <c r="D182" i="35" s="1"/>
  <c r="D234" i="35" s="1"/>
  <c r="D77" i="35"/>
  <c r="D129" i="35" s="1"/>
  <c r="D181" i="35" s="1"/>
  <c r="D233" i="35" s="1"/>
  <c r="D76" i="35"/>
  <c r="D75" i="35"/>
  <c r="D127" i="35" s="1"/>
  <c r="D179" i="35" s="1"/>
  <c r="D231" i="35" s="1"/>
  <c r="D74" i="35"/>
  <c r="D126" i="35" s="1"/>
  <c r="D178" i="35" s="1"/>
  <c r="D230" i="35" s="1"/>
  <c r="D73" i="35"/>
  <c r="D125" i="35" s="1"/>
  <c r="D177" i="35" s="1"/>
  <c r="D229" i="35" s="1"/>
  <c r="D72" i="35"/>
  <c r="D71" i="35"/>
  <c r="D123" i="35" s="1"/>
  <c r="D175" i="35" s="1"/>
  <c r="D227" i="35" s="1"/>
  <c r="D70" i="35"/>
  <c r="D122" i="35" s="1"/>
  <c r="D174" i="35" s="1"/>
  <c r="D226" i="35" s="1"/>
  <c r="D69" i="35"/>
  <c r="D121" i="35" s="1"/>
  <c r="D173" i="35" s="1"/>
  <c r="D225" i="35" s="1"/>
  <c r="D68" i="35"/>
  <c r="D67" i="35"/>
  <c r="D119" i="35" s="1"/>
  <c r="D171" i="35" s="1"/>
  <c r="D223" i="35" s="1"/>
  <c r="D66" i="35"/>
  <c r="D118" i="35" s="1"/>
  <c r="D170" i="35" s="1"/>
  <c r="D222" i="35" s="1"/>
  <c r="D65" i="35"/>
  <c r="D117" i="35" s="1"/>
  <c r="D169" i="35" s="1"/>
  <c r="D221" i="35" s="1"/>
  <c r="D64" i="35"/>
  <c r="D63" i="35"/>
  <c r="D115" i="35" s="1"/>
  <c r="D167" i="35" s="1"/>
  <c r="D219" i="35" s="1"/>
  <c r="D62" i="35"/>
  <c r="D114" i="35" s="1"/>
  <c r="D166" i="35" s="1"/>
  <c r="D218" i="35" s="1"/>
  <c r="D61" i="35"/>
  <c r="D113" i="35" s="1"/>
  <c r="D165" i="35" s="1"/>
  <c r="D217" i="35" s="1"/>
  <c r="D60" i="35"/>
  <c r="D59" i="35"/>
  <c r="D111" i="35" s="1"/>
  <c r="D163" i="35" s="1"/>
  <c r="D215" i="35" s="1"/>
  <c r="D58" i="35"/>
  <c r="D110" i="35" s="1"/>
  <c r="D162" i="35" s="1"/>
  <c r="D214" i="35" s="1"/>
  <c r="D57" i="35"/>
  <c r="D109" i="35" s="1"/>
  <c r="D161" i="35" s="1"/>
  <c r="D213" i="35" s="1"/>
  <c r="D56" i="35"/>
  <c r="D55" i="35"/>
  <c r="D107" i="35" s="1"/>
  <c r="D159" i="35" s="1"/>
  <c r="D211" i="35" s="1"/>
  <c r="C55" i="35"/>
  <c r="D54" i="35"/>
  <c r="C54" i="35"/>
  <c r="P81" i="32" l="1"/>
  <c r="R81" i="32" s="1"/>
  <c r="Q81" i="32"/>
  <c r="P82" i="32"/>
  <c r="R82" i="32" s="1"/>
  <c r="Q82" i="32"/>
  <c r="P83" i="32"/>
  <c r="Q83" i="32"/>
  <c r="R83" i="32" s="1"/>
  <c r="P84" i="32"/>
  <c r="Q84" i="32"/>
  <c r="R84" i="32"/>
  <c r="P85" i="32"/>
  <c r="R85" i="32" s="1"/>
  <c r="Q85" i="32"/>
  <c r="P86" i="32"/>
  <c r="R86" i="32" s="1"/>
  <c r="Q86" i="32"/>
  <c r="P87" i="32"/>
  <c r="Q87" i="32"/>
  <c r="R87" i="32" s="1"/>
  <c r="P88" i="32"/>
  <c r="Q88" i="32"/>
  <c r="R88" i="32"/>
  <c r="P89" i="32"/>
  <c r="R89" i="32" s="1"/>
  <c r="Q89" i="32"/>
  <c r="P90" i="32"/>
  <c r="R90" i="32" s="1"/>
  <c r="Q90" i="32"/>
  <c r="P91" i="32"/>
  <c r="Q91" i="32"/>
  <c r="R91" i="32" s="1"/>
  <c r="P92" i="32"/>
  <c r="Q92" i="32"/>
  <c r="R92" i="32"/>
  <c r="P93" i="32"/>
  <c r="R93" i="32" s="1"/>
  <c r="Q93" i="32"/>
  <c r="P94" i="32"/>
  <c r="R94" i="32" s="1"/>
  <c r="Q94" i="32"/>
  <c r="P95" i="32"/>
  <c r="Q95" i="32"/>
  <c r="R95" i="32" s="1"/>
  <c r="P96" i="32"/>
  <c r="Q96" i="32"/>
  <c r="R96" i="32"/>
  <c r="P97" i="32"/>
  <c r="R97" i="32" s="1"/>
  <c r="Q97" i="32"/>
  <c r="P98" i="32"/>
  <c r="R98" i="32" s="1"/>
  <c r="Q98" i="32"/>
  <c r="P99" i="32"/>
  <c r="Q99" i="32"/>
  <c r="R99" i="32" s="1"/>
  <c r="P100" i="32"/>
  <c r="Q100" i="32"/>
  <c r="R100" i="32"/>
  <c r="P101" i="32"/>
  <c r="R101" i="32" s="1"/>
  <c r="Q101" i="32"/>
  <c r="P102" i="32"/>
  <c r="R102" i="32" s="1"/>
  <c r="Q102" i="32"/>
  <c r="P103" i="32"/>
  <c r="Q103" i="32"/>
  <c r="R103" i="32" s="1"/>
  <c r="P104" i="32"/>
  <c r="Q104" i="32"/>
  <c r="R104" i="32"/>
  <c r="P105" i="32"/>
  <c r="R105" i="32" s="1"/>
  <c r="Q105" i="32"/>
  <c r="P106" i="32"/>
  <c r="R106" i="32" s="1"/>
  <c r="Q106" i="32"/>
  <c r="P107" i="32"/>
  <c r="Q107" i="32"/>
  <c r="R107" i="32" s="1"/>
  <c r="P108" i="32"/>
  <c r="Q108" i="32"/>
  <c r="R108" i="32"/>
  <c r="P109" i="32"/>
  <c r="R109" i="32" s="1"/>
  <c r="Q109" i="32"/>
  <c r="P110" i="32"/>
  <c r="R110" i="32" s="1"/>
  <c r="Q110" i="32"/>
  <c r="P111" i="32"/>
  <c r="Q111" i="32"/>
  <c r="R111" i="32" s="1"/>
  <c r="P112" i="32"/>
  <c r="Q112" i="32"/>
  <c r="R112" i="32"/>
  <c r="P113" i="32"/>
  <c r="R113" i="32" s="1"/>
  <c r="Q113" i="32"/>
  <c r="P114" i="32"/>
  <c r="R114" i="32" s="1"/>
  <c r="Q114" i="32"/>
  <c r="P115" i="32"/>
  <c r="Q115" i="32"/>
  <c r="R115" i="32" s="1"/>
  <c r="Q80" i="32"/>
  <c r="P80" i="32"/>
  <c r="R80" i="32" s="1"/>
  <c r="AK10" i="26" l="1"/>
  <c r="AK9" i="26"/>
  <c r="AK8" i="26"/>
  <c r="H13" i="5"/>
  <c r="I13" i="5" s="1"/>
  <c r="L42" i="27" l="1"/>
  <c r="L43" i="27" s="1"/>
  <c r="L44" i="27" s="1"/>
  <c r="L45" i="27" s="1"/>
  <c r="L46" i="27" s="1"/>
  <c r="L47" i="27" s="1"/>
  <c r="L48" i="27" s="1"/>
  <c r="L49" i="27" s="1"/>
  <c r="L50" i="27" s="1"/>
  <c r="L51" i="27" s="1"/>
  <c r="L52" i="27" s="1"/>
  <c r="L53" i="27" s="1"/>
  <c r="K42" i="27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J42" i="27"/>
  <c r="J43" i="27" s="1"/>
  <c r="J44" i="27" s="1"/>
  <c r="J45" i="27" s="1"/>
  <c r="J46" i="27" s="1"/>
  <c r="J47" i="27" s="1"/>
  <c r="J48" i="27" s="1"/>
  <c r="J49" i="27" s="1"/>
  <c r="J50" i="27" s="1"/>
  <c r="J51" i="27" s="1"/>
  <c r="J52" i="27" s="1"/>
  <c r="J53" i="27" s="1"/>
  <c r="I42" i="27"/>
  <c r="I43" i="27" s="1"/>
  <c r="I44" i="27" s="1"/>
  <c r="I45" i="27" s="1"/>
  <c r="I46" i="27" s="1"/>
  <c r="I47" i="27" s="1"/>
  <c r="I48" i="27" s="1"/>
  <c r="I49" i="27" s="1"/>
  <c r="I50" i="27" s="1"/>
  <c r="I51" i="27" s="1"/>
  <c r="I52" i="27" s="1"/>
  <c r="I53" i="27" s="1"/>
  <c r="H42" i="27"/>
  <c r="H43" i="27" s="1"/>
  <c r="H44" i="27" s="1"/>
  <c r="H45" i="27" s="1"/>
  <c r="H46" i="27" s="1"/>
  <c r="H47" i="27" s="1"/>
  <c r="H48" i="27" s="1"/>
  <c r="H49" i="27" s="1"/>
  <c r="H50" i="27" s="1"/>
  <c r="H51" i="27" s="1"/>
  <c r="H52" i="27" s="1"/>
  <c r="H53" i="27" s="1"/>
  <c r="G42" i="27"/>
  <c r="G43" i="27" s="1"/>
  <c r="G44" i="27" s="1"/>
  <c r="G45" i="27" s="1"/>
  <c r="G46" i="27" s="1"/>
  <c r="G47" i="27" s="1"/>
  <c r="G48" i="27" s="1"/>
  <c r="G49" i="27" s="1"/>
  <c r="G50" i="27" s="1"/>
  <c r="G51" i="27" s="1"/>
  <c r="G52" i="27" s="1"/>
  <c r="G53" i="27" s="1"/>
  <c r="F42" i="27"/>
  <c r="F43" i="27" s="1"/>
  <c r="F44" i="27" s="1"/>
  <c r="F45" i="27" s="1"/>
  <c r="F46" i="27" s="1"/>
  <c r="F47" i="27" s="1"/>
  <c r="F48" i="27" s="1"/>
  <c r="F49" i="27" s="1"/>
  <c r="F50" i="27" s="1"/>
  <c r="F51" i="27" s="1"/>
  <c r="F52" i="27" s="1"/>
  <c r="F53" i="27" s="1"/>
  <c r="E42" i="27"/>
  <c r="E43" i="27" s="1"/>
  <c r="E44" i="27" s="1"/>
  <c r="E45" i="27" s="1"/>
  <c r="E46" i="27" s="1"/>
  <c r="E47" i="27" s="1"/>
  <c r="E48" i="27" s="1"/>
  <c r="E49" i="27" s="1"/>
  <c r="E50" i="27" s="1"/>
  <c r="E51" i="27" s="1"/>
  <c r="E52" i="27" s="1"/>
  <c r="E53" i="27" s="1"/>
  <c r="D42" i="27"/>
  <c r="D43" i="27" s="1"/>
  <c r="D44" i="27" s="1"/>
  <c r="D45" i="27" s="1"/>
  <c r="D46" i="27" s="1"/>
  <c r="D47" i="27" s="1"/>
  <c r="D48" i="27" s="1"/>
  <c r="D49" i="27" s="1"/>
  <c r="D50" i="27" s="1"/>
  <c r="D51" i="27" s="1"/>
  <c r="D52" i="27" s="1"/>
  <c r="D53" i="27" s="1"/>
  <c r="Q79" i="32" l="1"/>
  <c r="Q78" i="32"/>
  <c r="P78" i="32"/>
  <c r="R78" i="32" s="1"/>
  <c r="L78" i="32"/>
  <c r="L79" i="32" s="1"/>
  <c r="P79" i="32" s="1"/>
  <c r="R79" i="32" s="1"/>
  <c r="Q77" i="32"/>
  <c r="P77" i="32"/>
  <c r="R77" i="32" s="1"/>
  <c r="Q76" i="32"/>
  <c r="Q75" i="32"/>
  <c r="L75" i="32"/>
  <c r="P75" i="32" s="1"/>
  <c r="R75" i="32" s="1"/>
  <c r="Q74" i="32"/>
  <c r="P74" i="32"/>
  <c r="R74" i="32" s="1"/>
  <c r="Q73" i="32"/>
  <c r="Q72" i="32"/>
  <c r="Q71" i="32"/>
  <c r="Q70" i="32"/>
  <c r="Q69" i="32"/>
  <c r="Q68" i="32"/>
  <c r="Q67" i="32"/>
  <c r="Q66" i="32"/>
  <c r="Q65" i="32"/>
  <c r="Q64" i="32"/>
  <c r="M64" i="32"/>
  <c r="M65" i="32" s="1"/>
  <c r="M66" i="32" s="1"/>
  <c r="M67" i="32" s="1"/>
  <c r="M68" i="32" s="1"/>
  <c r="M69" i="32" s="1"/>
  <c r="M70" i="32" s="1"/>
  <c r="M71" i="32" s="1"/>
  <c r="M72" i="32" s="1"/>
  <c r="M73" i="32" s="1"/>
  <c r="Q63" i="32"/>
  <c r="M63" i="32"/>
  <c r="Q62" i="32"/>
  <c r="Q61" i="32"/>
  <c r="Q60" i="32"/>
  <c r="Q59" i="32"/>
  <c r="Q58" i="32"/>
  <c r="Q57" i="32"/>
  <c r="Q56" i="32"/>
  <c r="Q55" i="32"/>
  <c r="Q54" i="32"/>
  <c r="Q53" i="32"/>
  <c r="Q52" i="32"/>
  <c r="Q51" i="32"/>
  <c r="M51" i="32"/>
  <c r="M52" i="32" s="1"/>
  <c r="M53" i="32" s="1"/>
  <c r="M54" i="32" s="1"/>
  <c r="M55" i="32" s="1"/>
  <c r="M56" i="32" s="1"/>
  <c r="M57" i="32" s="1"/>
  <c r="M58" i="32" s="1"/>
  <c r="M59" i="32" s="1"/>
  <c r="M60" i="32" s="1"/>
  <c r="M61" i="32" s="1"/>
  <c r="Q50" i="32"/>
  <c r="Q49" i="32"/>
  <c r="Q48" i="32"/>
  <c r="Q47" i="32"/>
  <c r="Q46" i="32"/>
  <c r="Q45" i="32"/>
  <c r="Q44" i="32"/>
  <c r="Q43" i="32"/>
  <c r="Q42" i="32"/>
  <c r="Q41" i="32"/>
  <c r="Q40" i="32"/>
  <c r="Q39" i="32"/>
  <c r="M39" i="32"/>
  <c r="M40" i="32" s="1"/>
  <c r="M41" i="32" s="1"/>
  <c r="M42" i="32" s="1"/>
  <c r="M43" i="32" s="1"/>
  <c r="M44" i="32" s="1"/>
  <c r="M45" i="32" s="1"/>
  <c r="M46" i="32" s="1"/>
  <c r="M47" i="32" s="1"/>
  <c r="M48" i="32" s="1"/>
  <c r="M49" i="32" s="1"/>
  <c r="L39" i="32"/>
  <c r="L40" i="32" s="1"/>
  <c r="Q38" i="32"/>
  <c r="P38" i="32"/>
  <c r="R38" i="32" s="1"/>
  <c r="Q37" i="32"/>
  <c r="Q36" i="32"/>
  <c r="Q35" i="32"/>
  <c r="Q34" i="32"/>
  <c r="Q33" i="32"/>
  <c r="Q32" i="32"/>
  <c r="Q31" i="32"/>
  <c r="Q30" i="32"/>
  <c r="Q29" i="32"/>
  <c r="Q28" i="32"/>
  <c r="Q27" i="32"/>
  <c r="M27" i="32"/>
  <c r="M28" i="32" s="1"/>
  <c r="M29" i="32" s="1"/>
  <c r="M30" i="32" s="1"/>
  <c r="M31" i="32" s="1"/>
  <c r="M32" i="32" s="1"/>
  <c r="M33" i="32" s="1"/>
  <c r="M34" i="32" s="1"/>
  <c r="M35" i="32" s="1"/>
  <c r="M36" i="32" s="1"/>
  <c r="M37" i="32" s="1"/>
  <c r="Q26" i="32"/>
  <c r="Q25" i="32"/>
  <c r="Q24" i="32"/>
  <c r="Q23" i="32"/>
  <c r="Q22" i="32"/>
  <c r="Q21" i="32"/>
  <c r="Q20" i="32"/>
  <c r="Q19" i="32"/>
  <c r="Q18" i="32"/>
  <c r="Q17" i="32"/>
  <c r="Q16" i="32"/>
  <c r="Q15" i="32"/>
  <c r="M15" i="32"/>
  <c r="M16" i="32" s="1"/>
  <c r="M17" i="32" s="1"/>
  <c r="M18" i="32" s="1"/>
  <c r="M19" i="32" s="1"/>
  <c r="M20" i="32" s="1"/>
  <c r="M21" i="32" s="1"/>
  <c r="M22" i="32" s="1"/>
  <c r="M23" i="32" s="1"/>
  <c r="M24" i="32" s="1"/>
  <c r="M25" i="32" s="1"/>
  <c r="Q14" i="32"/>
  <c r="Q13" i="32"/>
  <c r="Q12" i="32"/>
  <c r="Q11" i="32"/>
  <c r="Q10" i="32"/>
  <c r="Q9" i="32"/>
  <c r="Q8" i="32"/>
  <c r="Q7" i="32"/>
  <c r="Q6" i="32"/>
  <c r="Q5" i="32"/>
  <c r="Q4" i="32"/>
  <c r="Q3" i="32"/>
  <c r="M3" i="32"/>
  <c r="M4" i="32" s="1"/>
  <c r="M5" i="32" s="1"/>
  <c r="M6" i="32" s="1"/>
  <c r="M7" i="32" s="1"/>
  <c r="M8" i="32" s="1"/>
  <c r="M9" i="32" s="1"/>
  <c r="M10" i="32" s="1"/>
  <c r="M11" i="32" s="1"/>
  <c r="M12" i="32" s="1"/>
  <c r="M13" i="32" s="1"/>
  <c r="L3" i="32"/>
  <c r="L4" i="32" s="1"/>
  <c r="Q2" i="32"/>
  <c r="P2" i="32"/>
  <c r="P39" i="32" l="1"/>
  <c r="R39" i="32" s="1"/>
  <c r="R2" i="32"/>
  <c r="P40" i="32"/>
  <c r="R40" i="32" s="1"/>
  <c r="P4" i="32"/>
  <c r="R4" i="32" s="1"/>
  <c r="P3" i="32"/>
  <c r="R3" i="32" s="1"/>
  <c r="L5" i="32"/>
  <c r="L41" i="32"/>
  <c r="L76" i="32"/>
  <c r="P76" i="32" s="1"/>
  <c r="R76" i="32" s="1"/>
  <c r="Z38" i="32"/>
  <c r="Y38" i="32"/>
  <c r="Z37" i="32"/>
  <c r="Y37" i="32"/>
  <c r="Z36" i="32"/>
  <c r="Y36" i="32"/>
  <c r="Z35" i="32"/>
  <c r="Y35" i="32"/>
  <c r="Z34" i="32"/>
  <c r="Y34" i="32"/>
  <c r="AA34" i="32" s="1"/>
  <c r="Z33" i="32"/>
  <c r="Y33" i="32"/>
  <c r="Z32" i="32"/>
  <c r="Y32" i="32"/>
  <c r="Z31" i="32"/>
  <c r="Y31" i="32"/>
  <c r="Z30" i="32"/>
  <c r="Y30" i="32"/>
  <c r="Z29" i="32"/>
  <c r="Y29" i="32"/>
  <c r="Z28" i="32"/>
  <c r="Y28" i="32"/>
  <c r="Z27" i="32"/>
  <c r="Y27" i="32"/>
  <c r="Z26" i="32"/>
  <c r="Y26" i="32"/>
  <c r="AA26" i="32" s="1"/>
  <c r="Z25" i="32"/>
  <c r="Y25" i="32"/>
  <c r="Z24" i="32"/>
  <c r="Y24" i="32"/>
  <c r="Z23" i="32"/>
  <c r="Y23" i="32"/>
  <c r="Z22" i="32"/>
  <c r="Y22" i="32"/>
  <c r="Z21" i="32"/>
  <c r="Y21" i="32"/>
  <c r="AA21" i="32" s="1"/>
  <c r="Z20" i="32"/>
  <c r="Y20" i="32"/>
  <c r="Z19" i="32"/>
  <c r="Y19" i="32"/>
  <c r="Z18" i="32"/>
  <c r="Y18" i="32"/>
  <c r="Z17" i="32"/>
  <c r="Y17" i="32"/>
  <c r="Z16" i="32"/>
  <c r="Y16" i="32"/>
  <c r="Z15" i="32"/>
  <c r="Y15" i="32"/>
  <c r="Z14" i="32"/>
  <c r="Y14" i="32"/>
  <c r="Z13" i="32"/>
  <c r="Y13" i="32"/>
  <c r="Z12" i="32"/>
  <c r="Y12" i="32"/>
  <c r="Z11" i="32"/>
  <c r="Y11" i="32"/>
  <c r="Z10" i="32"/>
  <c r="Y10" i="32"/>
  <c r="AA10" i="32" s="1"/>
  <c r="Z9" i="32"/>
  <c r="Y9" i="32"/>
  <c r="Z8" i="32"/>
  <c r="Y8" i="32"/>
  <c r="Z7" i="32"/>
  <c r="Y7" i="32"/>
  <c r="Z6" i="32"/>
  <c r="Y6" i="32"/>
  <c r="Z5" i="32"/>
  <c r="Y5" i="32"/>
  <c r="Z4" i="32"/>
  <c r="Y4" i="32"/>
  <c r="Z3" i="32"/>
  <c r="Y3" i="32"/>
  <c r="Z2" i="32"/>
  <c r="Y2" i="32"/>
  <c r="AA18" i="32" l="1"/>
  <c r="AA25" i="32"/>
  <c r="AA37" i="32"/>
  <c r="AA36" i="32"/>
  <c r="AA3" i="32"/>
  <c r="AA5" i="32"/>
  <c r="AA9" i="32"/>
  <c r="AA11" i="32"/>
  <c r="AA13" i="32"/>
  <c r="AA17" i="32"/>
  <c r="AA19" i="32"/>
  <c r="AA8" i="32"/>
  <c r="AA16" i="32"/>
  <c r="AA2" i="32"/>
  <c r="AA27" i="32"/>
  <c r="AA29" i="32"/>
  <c r="AA33" i="32"/>
  <c r="AA35" i="32"/>
  <c r="AA24" i="32"/>
  <c r="AA32" i="32"/>
  <c r="AA4" i="32"/>
  <c r="AA6" i="32"/>
  <c r="AA15" i="32"/>
  <c r="AA20" i="32"/>
  <c r="AA22" i="32"/>
  <c r="AA31" i="32"/>
  <c r="AA38" i="32"/>
  <c r="L42" i="32"/>
  <c r="P41" i="32"/>
  <c r="R41" i="32" s="1"/>
  <c r="L6" i="32"/>
  <c r="P5" i="32"/>
  <c r="R5" i="32" s="1"/>
  <c r="AA7" i="32"/>
  <c r="AA12" i="32"/>
  <c r="AA14" i="32"/>
  <c r="AA23" i="32"/>
  <c r="AA28" i="32"/>
  <c r="AA30" i="32"/>
  <c r="AN10" i="26"/>
  <c r="AM10" i="26"/>
  <c r="AG10" i="26"/>
  <c r="AO10" i="26" s="1"/>
  <c r="AP10" i="26" s="1"/>
  <c r="AN9" i="26"/>
  <c r="AM9" i="26"/>
  <c r="AG9" i="26"/>
  <c r="AO9" i="26" s="1"/>
  <c r="AP9" i="26" s="1"/>
  <c r="AG8" i="26"/>
  <c r="AO8" i="26"/>
  <c r="AP8" i="26" s="1"/>
  <c r="AN8" i="26"/>
  <c r="AM8" i="26"/>
  <c r="P42" i="32" l="1"/>
  <c r="R42" i="32" s="1"/>
  <c r="L43" i="32"/>
  <c r="P6" i="32"/>
  <c r="R6" i="32" s="1"/>
  <c r="L7" i="32"/>
  <c r="R31" i="26"/>
  <c r="R30" i="26"/>
  <c r="R29" i="26"/>
  <c r="R28" i="26"/>
  <c r="R27" i="26"/>
  <c r="R26" i="26"/>
  <c r="R25" i="26"/>
  <c r="R24" i="26"/>
  <c r="R23" i="26"/>
  <c r="R22" i="26"/>
  <c r="R21" i="26"/>
  <c r="R20" i="26"/>
  <c r="R19" i="26"/>
  <c r="R18" i="26"/>
  <c r="R17" i="26"/>
  <c r="R16" i="26"/>
  <c r="R15" i="26"/>
  <c r="R14" i="26"/>
  <c r="L8" i="32" l="1"/>
  <c r="P7" i="32"/>
  <c r="R7" i="32" s="1"/>
  <c r="L44" i="32"/>
  <c r="P43" i="32"/>
  <c r="R43" i="32" s="1"/>
  <c r="P44" i="32" l="1"/>
  <c r="R44" i="32" s="1"/>
  <c r="L45" i="32"/>
  <c r="P8" i="32"/>
  <c r="R8" i="32" s="1"/>
  <c r="L9" i="32"/>
  <c r="C212" i="26"/>
  <c r="C213" i="26" s="1"/>
  <c r="C214" i="26" s="1"/>
  <c r="C215" i="26" s="1"/>
  <c r="C216" i="26" s="1"/>
  <c r="C217" i="26" s="1"/>
  <c r="C218" i="26" s="1"/>
  <c r="C219" i="26" s="1"/>
  <c r="C220" i="26" s="1"/>
  <c r="C221" i="26" s="1"/>
  <c r="C222" i="26" s="1"/>
  <c r="C223" i="26" s="1"/>
  <c r="C224" i="26" s="1"/>
  <c r="C225" i="26" s="1"/>
  <c r="C226" i="26" s="1"/>
  <c r="C227" i="26" s="1"/>
  <c r="C228" i="26" s="1"/>
  <c r="C229" i="26" s="1"/>
  <c r="C230" i="26" s="1"/>
  <c r="C231" i="26" s="1"/>
  <c r="C232" i="26" s="1"/>
  <c r="C233" i="26" s="1"/>
  <c r="C234" i="26" s="1"/>
  <c r="C235" i="26" s="1"/>
  <c r="C236" i="26" s="1"/>
  <c r="C237" i="26" s="1"/>
  <c r="C238" i="26" s="1"/>
  <c r="C239" i="26" s="1"/>
  <c r="C240" i="26" s="1"/>
  <c r="C241" i="26" s="1"/>
  <c r="C242" i="26" s="1"/>
  <c r="C243" i="26" s="1"/>
  <c r="C244" i="26" s="1"/>
  <c r="C245" i="26" s="1"/>
  <c r="C246" i="26" s="1"/>
  <c r="C247" i="26" s="1"/>
  <c r="C248" i="26" s="1"/>
  <c r="C249" i="26" s="1"/>
  <c r="C250" i="26" s="1"/>
  <c r="C251" i="26" s="1"/>
  <c r="C252" i="26" s="1"/>
  <c r="C253" i="26" s="1"/>
  <c r="C254" i="26" s="1"/>
  <c r="C255" i="26" s="1"/>
  <c r="C256" i="26" s="1"/>
  <c r="C257" i="26" s="1"/>
  <c r="C258" i="26" s="1"/>
  <c r="C259" i="26" s="1"/>
  <c r="C260" i="26" s="1"/>
  <c r="C261" i="26" s="1"/>
  <c r="C211" i="26"/>
  <c r="C210" i="26"/>
  <c r="C160" i="26"/>
  <c r="C161" i="26" s="1"/>
  <c r="C162" i="26" s="1"/>
  <c r="C163" i="26" s="1"/>
  <c r="C164" i="26" s="1"/>
  <c r="C165" i="26" s="1"/>
  <c r="C166" i="26" s="1"/>
  <c r="C167" i="26" s="1"/>
  <c r="C168" i="26" s="1"/>
  <c r="C169" i="26" s="1"/>
  <c r="C170" i="26" s="1"/>
  <c r="C171" i="26" s="1"/>
  <c r="C172" i="26" s="1"/>
  <c r="C173" i="26" s="1"/>
  <c r="C174" i="26" s="1"/>
  <c r="C175" i="26" s="1"/>
  <c r="C176" i="26" s="1"/>
  <c r="C177" i="26" s="1"/>
  <c r="C178" i="26" s="1"/>
  <c r="C179" i="26" s="1"/>
  <c r="C180" i="26" s="1"/>
  <c r="C181" i="26" s="1"/>
  <c r="C182" i="26" s="1"/>
  <c r="C183" i="26" s="1"/>
  <c r="C184" i="26" s="1"/>
  <c r="C185" i="26" s="1"/>
  <c r="C186" i="26" s="1"/>
  <c r="C187" i="26" s="1"/>
  <c r="C188" i="26" s="1"/>
  <c r="C189" i="26" s="1"/>
  <c r="C190" i="26" s="1"/>
  <c r="C191" i="26" s="1"/>
  <c r="C192" i="26" s="1"/>
  <c r="C193" i="26" s="1"/>
  <c r="C194" i="26" s="1"/>
  <c r="C195" i="26" s="1"/>
  <c r="C196" i="26" s="1"/>
  <c r="C197" i="26" s="1"/>
  <c r="C198" i="26" s="1"/>
  <c r="C199" i="26" s="1"/>
  <c r="C200" i="26" s="1"/>
  <c r="C201" i="26" s="1"/>
  <c r="C202" i="26" s="1"/>
  <c r="C203" i="26" s="1"/>
  <c r="C204" i="26" s="1"/>
  <c r="C205" i="26" s="1"/>
  <c r="C206" i="26" s="1"/>
  <c r="C207" i="26" s="1"/>
  <c r="C208" i="26" s="1"/>
  <c r="C209" i="26" s="1"/>
  <c r="C159" i="26"/>
  <c r="C108" i="26"/>
  <c r="C109" i="26" s="1"/>
  <c r="C110" i="26" s="1"/>
  <c r="C111" i="26" s="1"/>
  <c r="C112" i="26" s="1"/>
  <c r="C113" i="26" s="1"/>
  <c r="C114" i="26" s="1"/>
  <c r="C115" i="26" s="1"/>
  <c r="C116" i="26" s="1"/>
  <c r="C117" i="26" s="1"/>
  <c r="C118" i="26" s="1"/>
  <c r="C119" i="26" s="1"/>
  <c r="C120" i="26" s="1"/>
  <c r="C121" i="26" s="1"/>
  <c r="C122" i="26" s="1"/>
  <c r="C123" i="26" s="1"/>
  <c r="C124" i="26" s="1"/>
  <c r="C125" i="26" s="1"/>
  <c r="C126" i="26" s="1"/>
  <c r="C127" i="26" s="1"/>
  <c r="C128" i="26" s="1"/>
  <c r="C129" i="26" s="1"/>
  <c r="C130" i="26" s="1"/>
  <c r="C131" i="26" s="1"/>
  <c r="C132" i="26" s="1"/>
  <c r="C133" i="26" s="1"/>
  <c r="C134" i="26" s="1"/>
  <c r="C135" i="26" s="1"/>
  <c r="C136" i="26" s="1"/>
  <c r="C137" i="26" s="1"/>
  <c r="C138" i="26" s="1"/>
  <c r="C139" i="26" s="1"/>
  <c r="C140" i="26" s="1"/>
  <c r="C141" i="26" s="1"/>
  <c r="C142" i="26" s="1"/>
  <c r="C143" i="26" s="1"/>
  <c r="C144" i="26" s="1"/>
  <c r="C145" i="26" s="1"/>
  <c r="C146" i="26" s="1"/>
  <c r="C147" i="26" s="1"/>
  <c r="C148" i="26" s="1"/>
  <c r="C149" i="26" s="1"/>
  <c r="C150" i="26" s="1"/>
  <c r="C151" i="26" s="1"/>
  <c r="C152" i="26" s="1"/>
  <c r="C153" i="26" s="1"/>
  <c r="C154" i="26" s="1"/>
  <c r="C155" i="26" s="1"/>
  <c r="C156" i="26" s="1"/>
  <c r="C157" i="26" s="1"/>
  <c r="C158" i="26" s="1"/>
  <c r="C107" i="26"/>
  <c r="D208" i="26"/>
  <c r="D260" i="26" s="1"/>
  <c r="D204" i="26"/>
  <c r="D256" i="26" s="1"/>
  <c r="D200" i="26"/>
  <c r="D252" i="26" s="1"/>
  <c r="D169" i="26"/>
  <c r="D221" i="26" s="1"/>
  <c r="D158" i="26"/>
  <c r="D210" i="26" s="1"/>
  <c r="D157" i="26"/>
  <c r="D209" i="26" s="1"/>
  <c r="D261" i="26" s="1"/>
  <c r="D156" i="26"/>
  <c r="D155" i="26"/>
  <c r="D207" i="26" s="1"/>
  <c r="D259" i="26" s="1"/>
  <c r="D154" i="26"/>
  <c r="D206" i="26" s="1"/>
  <c r="D258" i="26" s="1"/>
  <c r="D153" i="26"/>
  <c r="D205" i="26" s="1"/>
  <c r="D257" i="26" s="1"/>
  <c r="D152" i="26"/>
  <c r="D151" i="26"/>
  <c r="D203" i="26" s="1"/>
  <c r="D255" i="26" s="1"/>
  <c r="D150" i="26"/>
  <c r="D202" i="26" s="1"/>
  <c r="D254" i="26" s="1"/>
  <c r="D149" i="26"/>
  <c r="D201" i="26" s="1"/>
  <c r="D253" i="26" s="1"/>
  <c r="D148" i="26"/>
  <c r="D147" i="26"/>
  <c r="D199" i="26" s="1"/>
  <c r="D251" i="26" s="1"/>
  <c r="D146" i="26"/>
  <c r="D198" i="26" s="1"/>
  <c r="D250" i="26" s="1"/>
  <c r="D145" i="26"/>
  <c r="D197" i="26" s="1"/>
  <c r="D249" i="26" s="1"/>
  <c r="D144" i="26"/>
  <c r="D196" i="26" s="1"/>
  <c r="D248" i="26" s="1"/>
  <c r="D143" i="26"/>
  <c r="D195" i="26" s="1"/>
  <c r="D247" i="26" s="1"/>
  <c r="D142" i="26"/>
  <c r="D194" i="26" s="1"/>
  <c r="D246" i="26" s="1"/>
  <c r="D141" i="26"/>
  <c r="D193" i="26" s="1"/>
  <c r="D245" i="26" s="1"/>
  <c r="D140" i="26"/>
  <c r="D192" i="26" s="1"/>
  <c r="D244" i="26" s="1"/>
  <c r="D139" i="26"/>
  <c r="D191" i="26" s="1"/>
  <c r="D243" i="26" s="1"/>
  <c r="D138" i="26"/>
  <c r="D190" i="26" s="1"/>
  <c r="D242" i="26" s="1"/>
  <c r="D137" i="26"/>
  <c r="D189" i="26" s="1"/>
  <c r="D241" i="26" s="1"/>
  <c r="D136" i="26"/>
  <c r="D188" i="26" s="1"/>
  <c r="D240" i="26" s="1"/>
  <c r="D135" i="26"/>
  <c r="D187" i="26" s="1"/>
  <c r="D239" i="26" s="1"/>
  <c r="D134" i="26"/>
  <c r="D186" i="26" s="1"/>
  <c r="D238" i="26" s="1"/>
  <c r="D133" i="26"/>
  <c r="D185" i="26" s="1"/>
  <c r="D237" i="26" s="1"/>
  <c r="D132" i="26"/>
  <c r="D184" i="26" s="1"/>
  <c r="D236" i="26" s="1"/>
  <c r="D131" i="26"/>
  <c r="D183" i="26" s="1"/>
  <c r="D235" i="26" s="1"/>
  <c r="D130" i="26"/>
  <c r="D182" i="26" s="1"/>
  <c r="D234" i="26" s="1"/>
  <c r="D129" i="26"/>
  <c r="D181" i="26" s="1"/>
  <c r="D233" i="26" s="1"/>
  <c r="D128" i="26"/>
  <c r="D180" i="26" s="1"/>
  <c r="D232" i="26" s="1"/>
  <c r="D127" i="26"/>
  <c r="D179" i="26" s="1"/>
  <c r="D231" i="26" s="1"/>
  <c r="D126" i="26"/>
  <c r="D178" i="26" s="1"/>
  <c r="D230" i="26" s="1"/>
  <c r="D125" i="26"/>
  <c r="D177" i="26" s="1"/>
  <c r="D229" i="26" s="1"/>
  <c r="D124" i="26"/>
  <c r="D176" i="26" s="1"/>
  <c r="D228" i="26" s="1"/>
  <c r="D123" i="26"/>
  <c r="D175" i="26" s="1"/>
  <c r="D227" i="26" s="1"/>
  <c r="D122" i="26"/>
  <c r="D174" i="26" s="1"/>
  <c r="D226" i="26" s="1"/>
  <c r="D121" i="26"/>
  <c r="D173" i="26" s="1"/>
  <c r="D225" i="26" s="1"/>
  <c r="D120" i="26"/>
  <c r="D172" i="26" s="1"/>
  <c r="D224" i="26" s="1"/>
  <c r="D119" i="26"/>
  <c r="D171" i="26" s="1"/>
  <c r="D223" i="26" s="1"/>
  <c r="D118" i="26"/>
  <c r="D170" i="26" s="1"/>
  <c r="D222" i="26" s="1"/>
  <c r="D117" i="26"/>
  <c r="D116" i="26"/>
  <c r="D168" i="26" s="1"/>
  <c r="D220" i="26" s="1"/>
  <c r="D115" i="26"/>
  <c r="D167" i="26" s="1"/>
  <c r="D219" i="26" s="1"/>
  <c r="D114" i="26"/>
  <c r="D166" i="26" s="1"/>
  <c r="D218" i="26" s="1"/>
  <c r="D113" i="26"/>
  <c r="D165" i="26" s="1"/>
  <c r="D217" i="26" s="1"/>
  <c r="D112" i="26"/>
  <c r="D164" i="26" s="1"/>
  <c r="D216" i="26" s="1"/>
  <c r="D111" i="26"/>
  <c r="D163" i="26" s="1"/>
  <c r="D215" i="26" s="1"/>
  <c r="D110" i="26"/>
  <c r="D162" i="26" s="1"/>
  <c r="D214" i="26" s="1"/>
  <c r="D109" i="26"/>
  <c r="D161" i="26" s="1"/>
  <c r="D213" i="26" s="1"/>
  <c r="D108" i="26"/>
  <c r="D160" i="26" s="1"/>
  <c r="D212" i="26" s="1"/>
  <c r="N107" i="26"/>
  <c r="N108" i="26" s="1"/>
  <c r="N109" i="26" s="1"/>
  <c r="N110" i="26" s="1"/>
  <c r="N111" i="26" s="1"/>
  <c r="N112" i="26" s="1"/>
  <c r="N113" i="26" s="1"/>
  <c r="N114" i="26" s="1"/>
  <c r="N115" i="26" s="1"/>
  <c r="N116" i="26" s="1"/>
  <c r="N117" i="26" s="1"/>
  <c r="N118" i="26" s="1"/>
  <c r="N119" i="26" s="1"/>
  <c r="N120" i="26" s="1"/>
  <c r="N121" i="26" s="1"/>
  <c r="N122" i="26" s="1"/>
  <c r="N123" i="26" s="1"/>
  <c r="N124" i="26" s="1"/>
  <c r="N125" i="26" s="1"/>
  <c r="N126" i="26" s="1"/>
  <c r="N127" i="26" s="1"/>
  <c r="N128" i="26" s="1"/>
  <c r="N129" i="26" s="1"/>
  <c r="N130" i="26" s="1"/>
  <c r="N131" i="26" s="1"/>
  <c r="N132" i="26" s="1"/>
  <c r="N133" i="26" s="1"/>
  <c r="N134" i="26" s="1"/>
  <c r="N135" i="26" s="1"/>
  <c r="N136" i="26" s="1"/>
  <c r="N137" i="26" s="1"/>
  <c r="N138" i="26" s="1"/>
  <c r="N139" i="26" s="1"/>
  <c r="N140" i="26" s="1"/>
  <c r="N141" i="26" s="1"/>
  <c r="N142" i="26" s="1"/>
  <c r="N143" i="26" s="1"/>
  <c r="N144" i="26" s="1"/>
  <c r="N145" i="26" s="1"/>
  <c r="N146" i="26" s="1"/>
  <c r="N147" i="26" s="1"/>
  <c r="N148" i="26" s="1"/>
  <c r="N149" i="26" s="1"/>
  <c r="N150" i="26" s="1"/>
  <c r="N151" i="26" s="1"/>
  <c r="N152" i="26" s="1"/>
  <c r="N153" i="26" s="1"/>
  <c r="N154" i="26" s="1"/>
  <c r="N155" i="26" s="1"/>
  <c r="N156" i="26" s="1"/>
  <c r="N157" i="26" s="1"/>
  <c r="N158" i="26" s="1"/>
  <c r="N159" i="26" s="1"/>
  <c r="N160" i="26" s="1"/>
  <c r="N161" i="26" s="1"/>
  <c r="N162" i="26" s="1"/>
  <c r="N163" i="26" s="1"/>
  <c r="N164" i="26" s="1"/>
  <c r="N165" i="26" s="1"/>
  <c r="N166" i="26" s="1"/>
  <c r="N167" i="26" s="1"/>
  <c r="N168" i="26" s="1"/>
  <c r="N169" i="26" s="1"/>
  <c r="N170" i="26" s="1"/>
  <c r="N171" i="26" s="1"/>
  <c r="N172" i="26" s="1"/>
  <c r="N173" i="26" s="1"/>
  <c r="N174" i="26" s="1"/>
  <c r="N175" i="26" s="1"/>
  <c r="N176" i="26" s="1"/>
  <c r="N177" i="26" s="1"/>
  <c r="N178" i="26" s="1"/>
  <c r="N179" i="26" s="1"/>
  <c r="N180" i="26" s="1"/>
  <c r="N181" i="26" s="1"/>
  <c r="N182" i="26" s="1"/>
  <c r="N183" i="26" s="1"/>
  <c r="N184" i="26" s="1"/>
  <c r="N185" i="26" s="1"/>
  <c r="N186" i="26" s="1"/>
  <c r="N187" i="26" s="1"/>
  <c r="N188" i="26" s="1"/>
  <c r="N189" i="26" s="1"/>
  <c r="N190" i="26" s="1"/>
  <c r="N191" i="26" s="1"/>
  <c r="N192" i="26" s="1"/>
  <c r="N193" i="26" s="1"/>
  <c r="N194" i="26" s="1"/>
  <c r="N195" i="26" s="1"/>
  <c r="N196" i="26" s="1"/>
  <c r="N197" i="26" s="1"/>
  <c r="N198" i="26" s="1"/>
  <c r="N199" i="26" s="1"/>
  <c r="N200" i="26" s="1"/>
  <c r="N201" i="26" s="1"/>
  <c r="N202" i="26" s="1"/>
  <c r="N203" i="26" s="1"/>
  <c r="N204" i="26" s="1"/>
  <c r="N205" i="26" s="1"/>
  <c r="N206" i="26" s="1"/>
  <c r="N207" i="26" s="1"/>
  <c r="N208" i="26" s="1"/>
  <c r="N209" i="26" s="1"/>
  <c r="N210" i="26" s="1"/>
  <c r="N211" i="26" s="1"/>
  <c r="N212" i="26" s="1"/>
  <c r="N213" i="26" s="1"/>
  <c r="N214" i="26" s="1"/>
  <c r="N215" i="26" s="1"/>
  <c r="N216" i="26" s="1"/>
  <c r="N217" i="26" s="1"/>
  <c r="N218" i="26" s="1"/>
  <c r="N219" i="26" s="1"/>
  <c r="N220" i="26" s="1"/>
  <c r="N221" i="26" s="1"/>
  <c r="N222" i="26" s="1"/>
  <c r="N223" i="26" s="1"/>
  <c r="N224" i="26" s="1"/>
  <c r="N225" i="26" s="1"/>
  <c r="N226" i="26" s="1"/>
  <c r="N227" i="26" s="1"/>
  <c r="N228" i="26" s="1"/>
  <c r="N229" i="26" s="1"/>
  <c r="N230" i="26" s="1"/>
  <c r="N231" i="26" s="1"/>
  <c r="N232" i="26" s="1"/>
  <c r="N233" i="26" s="1"/>
  <c r="N234" i="26" s="1"/>
  <c r="N235" i="26" s="1"/>
  <c r="N236" i="26" s="1"/>
  <c r="N237" i="26" s="1"/>
  <c r="N238" i="26" s="1"/>
  <c r="N239" i="26" s="1"/>
  <c r="N240" i="26" s="1"/>
  <c r="N241" i="26" s="1"/>
  <c r="N242" i="26" s="1"/>
  <c r="N243" i="26" s="1"/>
  <c r="N244" i="26" s="1"/>
  <c r="N245" i="26" s="1"/>
  <c r="N246" i="26" s="1"/>
  <c r="N247" i="26" s="1"/>
  <c r="N248" i="26" s="1"/>
  <c r="N249" i="26" s="1"/>
  <c r="N250" i="26" s="1"/>
  <c r="N251" i="26" s="1"/>
  <c r="N252" i="26" s="1"/>
  <c r="N253" i="26" s="1"/>
  <c r="N254" i="26" s="1"/>
  <c r="N255" i="26" s="1"/>
  <c r="N256" i="26" s="1"/>
  <c r="N257" i="26" s="1"/>
  <c r="N258" i="26" s="1"/>
  <c r="N259" i="26" s="1"/>
  <c r="N260" i="26" s="1"/>
  <c r="N261" i="26" s="1"/>
  <c r="F107" i="26"/>
  <c r="F108" i="26" s="1"/>
  <c r="F109" i="26" s="1"/>
  <c r="F110" i="26" s="1"/>
  <c r="F111" i="26" s="1"/>
  <c r="F112" i="26" s="1"/>
  <c r="F113" i="26" s="1"/>
  <c r="F114" i="26" s="1"/>
  <c r="F115" i="26" s="1"/>
  <c r="F116" i="26" s="1"/>
  <c r="F117" i="26" s="1"/>
  <c r="F118" i="26" s="1"/>
  <c r="F119" i="26" s="1"/>
  <c r="F120" i="26" s="1"/>
  <c r="F121" i="26" s="1"/>
  <c r="F122" i="26" s="1"/>
  <c r="F123" i="26" s="1"/>
  <c r="F124" i="26" s="1"/>
  <c r="F125" i="26" s="1"/>
  <c r="F126" i="26" s="1"/>
  <c r="F127" i="26" s="1"/>
  <c r="F128" i="26" s="1"/>
  <c r="F129" i="26" s="1"/>
  <c r="F130" i="26" s="1"/>
  <c r="F131" i="26" s="1"/>
  <c r="F132" i="26" s="1"/>
  <c r="F133" i="26" s="1"/>
  <c r="F134" i="26" s="1"/>
  <c r="F135" i="26" s="1"/>
  <c r="F136" i="26" s="1"/>
  <c r="F137" i="26" s="1"/>
  <c r="F138" i="26" s="1"/>
  <c r="F139" i="26" s="1"/>
  <c r="F140" i="26" s="1"/>
  <c r="F141" i="26" s="1"/>
  <c r="F142" i="26" s="1"/>
  <c r="F143" i="26" s="1"/>
  <c r="F144" i="26" s="1"/>
  <c r="F145" i="26" s="1"/>
  <c r="F146" i="26" s="1"/>
  <c r="F147" i="26" s="1"/>
  <c r="F148" i="26" s="1"/>
  <c r="F149" i="26" s="1"/>
  <c r="F150" i="26" s="1"/>
  <c r="F151" i="26" s="1"/>
  <c r="F152" i="26" s="1"/>
  <c r="F153" i="26" s="1"/>
  <c r="F154" i="26" s="1"/>
  <c r="F155" i="26" s="1"/>
  <c r="F156" i="26" s="1"/>
  <c r="F157" i="26" s="1"/>
  <c r="F158" i="26" s="1"/>
  <c r="F159" i="26" s="1"/>
  <c r="F160" i="26" s="1"/>
  <c r="F161" i="26" s="1"/>
  <c r="F162" i="26" s="1"/>
  <c r="F163" i="26" s="1"/>
  <c r="F164" i="26" s="1"/>
  <c r="F165" i="26" s="1"/>
  <c r="F166" i="26" s="1"/>
  <c r="F167" i="26" s="1"/>
  <c r="F168" i="26" s="1"/>
  <c r="F169" i="26" s="1"/>
  <c r="F170" i="26" s="1"/>
  <c r="F171" i="26" s="1"/>
  <c r="F172" i="26" s="1"/>
  <c r="F173" i="26" s="1"/>
  <c r="F174" i="26" s="1"/>
  <c r="F175" i="26" s="1"/>
  <c r="F176" i="26" s="1"/>
  <c r="F177" i="26" s="1"/>
  <c r="F178" i="26" s="1"/>
  <c r="F179" i="26" s="1"/>
  <c r="F180" i="26" s="1"/>
  <c r="F181" i="26" s="1"/>
  <c r="F182" i="26" s="1"/>
  <c r="F183" i="26" s="1"/>
  <c r="F184" i="26" s="1"/>
  <c r="F185" i="26" s="1"/>
  <c r="F186" i="26" s="1"/>
  <c r="F187" i="26" s="1"/>
  <c r="F188" i="26" s="1"/>
  <c r="F189" i="26" s="1"/>
  <c r="F190" i="26" s="1"/>
  <c r="F191" i="26" s="1"/>
  <c r="F192" i="26" s="1"/>
  <c r="F193" i="26" s="1"/>
  <c r="F194" i="26" s="1"/>
  <c r="F195" i="26" s="1"/>
  <c r="F196" i="26" s="1"/>
  <c r="F197" i="26" s="1"/>
  <c r="F198" i="26" s="1"/>
  <c r="F199" i="26" s="1"/>
  <c r="F200" i="26" s="1"/>
  <c r="F201" i="26" s="1"/>
  <c r="F202" i="26" s="1"/>
  <c r="F203" i="26" s="1"/>
  <c r="F204" i="26" s="1"/>
  <c r="F205" i="26" s="1"/>
  <c r="F206" i="26" s="1"/>
  <c r="F207" i="26" s="1"/>
  <c r="F208" i="26" s="1"/>
  <c r="F209" i="26" s="1"/>
  <c r="F210" i="26" s="1"/>
  <c r="F211" i="26" s="1"/>
  <c r="F212" i="26" s="1"/>
  <c r="F213" i="26" s="1"/>
  <c r="F214" i="26" s="1"/>
  <c r="F215" i="26" s="1"/>
  <c r="F216" i="26" s="1"/>
  <c r="F217" i="26" s="1"/>
  <c r="F218" i="26" s="1"/>
  <c r="F219" i="26" s="1"/>
  <c r="F220" i="26" s="1"/>
  <c r="F221" i="26" s="1"/>
  <c r="F222" i="26" s="1"/>
  <c r="F223" i="26" s="1"/>
  <c r="F224" i="26" s="1"/>
  <c r="F225" i="26" s="1"/>
  <c r="F226" i="26" s="1"/>
  <c r="F227" i="26" s="1"/>
  <c r="F228" i="26" s="1"/>
  <c r="F229" i="26" s="1"/>
  <c r="F230" i="26" s="1"/>
  <c r="F231" i="26" s="1"/>
  <c r="F232" i="26" s="1"/>
  <c r="F233" i="26" s="1"/>
  <c r="F234" i="26" s="1"/>
  <c r="F235" i="26" s="1"/>
  <c r="F236" i="26" s="1"/>
  <c r="F237" i="26" s="1"/>
  <c r="F238" i="26" s="1"/>
  <c r="F239" i="26" s="1"/>
  <c r="F240" i="26" s="1"/>
  <c r="F241" i="26" s="1"/>
  <c r="F242" i="26" s="1"/>
  <c r="F243" i="26" s="1"/>
  <c r="F244" i="26" s="1"/>
  <c r="F245" i="26" s="1"/>
  <c r="F246" i="26" s="1"/>
  <c r="F247" i="26" s="1"/>
  <c r="F248" i="26" s="1"/>
  <c r="F249" i="26" s="1"/>
  <c r="F250" i="26" s="1"/>
  <c r="F251" i="26" s="1"/>
  <c r="F252" i="26" s="1"/>
  <c r="F253" i="26" s="1"/>
  <c r="F254" i="26" s="1"/>
  <c r="F255" i="26" s="1"/>
  <c r="F256" i="26" s="1"/>
  <c r="F257" i="26" s="1"/>
  <c r="F258" i="26" s="1"/>
  <c r="F259" i="26" s="1"/>
  <c r="F260" i="26" s="1"/>
  <c r="F261" i="26" s="1"/>
  <c r="E107" i="26"/>
  <c r="E108" i="26" s="1"/>
  <c r="E109" i="26" s="1"/>
  <c r="E110" i="26" s="1"/>
  <c r="E111" i="26" s="1"/>
  <c r="E112" i="26" s="1"/>
  <c r="E113" i="26" s="1"/>
  <c r="E114" i="26" s="1"/>
  <c r="E115" i="26" s="1"/>
  <c r="E116" i="26" s="1"/>
  <c r="E117" i="26" s="1"/>
  <c r="E118" i="26" s="1"/>
  <c r="E119" i="26" s="1"/>
  <c r="E120" i="26" s="1"/>
  <c r="E121" i="26" s="1"/>
  <c r="E122" i="26" s="1"/>
  <c r="E123" i="26" s="1"/>
  <c r="E124" i="26" s="1"/>
  <c r="E125" i="26" s="1"/>
  <c r="E126" i="26" s="1"/>
  <c r="E127" i="26" s="1"/>
  <c r="E128" i="26" s="1"/>
  <c r="E129" i="26" s="1"/>
  <c r="E130" i="26" s="1"/>
  <c r="E131" i="26" s="1"/>
  <c r="E132" i="26" s="1"/>
  <c r="E133" i="26" s="1"/>
  <c r="E134" i="26" s="1"/>
  <c r="E135" i="26" s="1"/>
  <c r="E136" i="26" s="1"/>
  <c r="E137" i="26" s="1"/>
  <c r="E138" i="26" s="1"/>
  <c r="E139" i="26" s="1"/>
  <c r="E140" i="26" s="1"/>
  <c r="E141" i="26" s="1"/>
  <c r="E142" i="26" s="1"/>
  <c r="E143" i="26" s="1"/>
  <c r="E144" i="26" s="1"/>
  <c r="E145" i="26" s="1"/>
  <c r="E146" i="26" s="1"/>
  <c r="E147" i="26" s="1"/>
  <c r="E148" i="26" s="1"/>
  <c r="E149" i="26" s="1"/>
  <c r="E150" i="26" s="1"/>
  <c r="E151" i="26" s="1"/>
  <c r="E152" i="26" s="1"/>
  <c r="E153" i="26" s="1"/>
  <c r="E154" i="26" s="1"/>
  <c r="E155" i="26" s="1"/>
  <c r="E156" i="26" s="1"/>
  <c r="E157" i="26" s="1"/>
  <c r="E158" i="26" s="1"/>
  <c r="E159" i="26" s="1"/>
  <c r="E160" i="26" s="1"/>
  <c r="E161" i="26" s="1"/>
  <c r="E162" i="26" s="1"/>
  <c r="E163" i="26" s="1"/>
  <c r="E164" i="26" s="1"/>
  <c r="E165" i="26" s="1"/>
  <c r="E166" i="26" s="1"/>
  <c r="E167" i="26" s="1"/>
  <c r="E168" i="26" s="1"/>
  <c r="E169" i="26" s="1"/>
  <c r="E170" i="26" s="1"/>
  <c r="E171" i="26" s="1"/>
  <c r="E172" i="26" s="1"/>
  <c r="E173" i="26" s="1"/>
  <c r="E174" i="26" s="1"/>
  <c r="E175" i="26" s="1"/>
  <c r="E176" i="26" s="1"/>
  <c r="E177" i="26" s="1"/>
  <c r="E178" i="26" s="1"/>
  <c r="E179" i="26" s="1"/>
  <c r="E180" i="26" s="1"/>
  <c r="E181" i="26" s="1"/>
  <c r="E182" i="26" s="1"/>
  <c r="E183" i="26" s="1"/>
  <c r="E184" i="26" s="1"/>
  <c r="E185" i="26" s="1"/>
  <c r="E186" i="26" s="1"/>
  <c r="E187" i="26" s="1"/>
  <c r="E188" i="26" s="1"/>
  <c r="E189" i="26" s="1"/>
  <c r="E190" i="26" s="1"/>
  <c r="E191" i="26" s="1"/>
  <c r="E192" i="26" s="1"/>
  <c r="E193" i="26" s="1"/>
  <c r="E194" i="26" s="1"/>
  <c r="E195" i="26" s="1"/>
  <c r="E196" i="26" s="1"/>
  <c r="E197" i="26" s="1"/>
  <c r="E198" i="26" s="1"/>
  <c r="E199" i="26" s="1"/>
  <c r="E200" i="26" s="1"/>
  <c r="E201" i="26" s="1"/>
  <c r="E202" i="26" s="1"/>
  <c r="E203" i="26" s="1"/>
  <c r="E204" i="26" s="1"/>
  <c r="E205" i="26" s="1"/>
  <c r="E206" i="26" s="1"/>
  <c r="E207" i="26" s="1"/>
  <c r="E208" i="26" s="1"/>
  <c r="E209" i="26" s="1"/>
  <c r="E210" i="26" s="1"/>
  <c r="E211" i="26" s="1"/>
  <c r="E212" i="26" s="1"/>
  <c r="E213" i="26" s="1"/>
  <c r="E214" i="26" s="1"/>
  <c r="E215" i="26" s="1"/>
  <c r="E216" i="26" s="1"/>
  <c r="E217" i="26" s="1"/>
  <c r="E218" i="26" s="1"/>
  <c r="E219" i="26" s="1"/>
  <c r="E220" i="26" s="1"/>
  <c r="E221" i="26" s="1"/>
  <c r="E222" i="26" s="1"/>
  <c r="E223" i="26" s="1"/>
  <c r="E224" i="26" s="1"/>
  <c r="E225" i="26" s="1"/>
  <c r="E226" i="26" s="1"/>
  <c r="E227" i="26" s="1"/>
  <c r="E228" i="26" s="1"/>
  <c r="E229" i="26" s="1"/>
  <c r="E230" i="26" s="1"/>
  <c r="E231" i="26" s="1"/>
  <c r="E232" i="26" s="1"/>
  <c r="E233" i="26" s="1"/>
  <c r="E234" i="26" s="1"/>
  <c r="E235" i="26" s="1"/>
  <c r="E236" i="26" s="1"/>
  <c r="E237" i="26" s="1"/>
  <c r="E238" i="26" s="1"/>
  <c r="E239" i="26" s="1"/>
  <c r="E240" i="26" s="1"/>
  <c r="E241" i="26" s="1"/>
  <c r="E242" i="26" s="1"/>
  <c r="E243" i="26" s="1"/>
  <c r="E244" i="26" s="1"/>
  <c r="E245" i="26" s="1"/>
  <c r="E246" i="26" s="1"/>
  <c r="E247" i="26" s="1"/>
  <c r="E248" i="26" s="1"/>
  <c r="E249" i="26" s="1"/>
  <c r="E250" i="26" s="1"/>
  <c r="E251" i="26" s="1"/>
  <c r="E252" i="26" s="1"/>
  <c r="E253" i="26" s="1"/>
  <c r="E254" i="26" s="1"/>
  <c r="E255" i="26" s="1"/>
  <c r="E256" i="26" s="1"/>
  <c r="E257" i="26" s="1"/>
  <c r="E258" i="26" s="1"/>
  <c r="E259" i="26" s="1"/>
  <c r="E260" i="26" s="1"/>
  <c r="E261" i="26" s="1"/>
  <c r="D107" i="26"/>
  <c r="D159" i="26" s="1"/>
  <c r="D211" i="26" s="1"/>
  <c r="N106" i="26"/>
  <c r="F106" i="26"/>
  <c r="E106" i="26"/>
  <c r="C106" i="26"/>
  <c r="D106" i="26"/>
  <c r="D105" i="26"/>
  <c r="D104" i="26"/>
  <c r="D103" i="26"/>
  <c r="D102" i="26"/>
  <c r="D101" i="26"/>
  <c r="D100" i="26"/>
  <c r="D99" i="26"/>
  <c r="D98" i="26"/>
  <c r="D97" i="26"/>
  <c r="D96" i="26"/>
  <c r="D95" i="26"/>
  <c r="D94" i="26"/>
  <c r="D93" i="26"/>
  <c r="D92" i="26"/>
  <c r="D91" i="26"/>
  <c r="D90" i="26"/>
  <c r="D89" i="26"/>
  <c r="D88" i="26"/>
  <c r="D87" i="26"/>
  <c r="D86" i="26"/>
  <c r="D85" i="26"/>
  <c r="D84" i="26"/>
  <c r="D83" i="26"/>
  <c r="D82" i="26"/>
  <c r="D81" i="26"/>
  <c r="D80" i="26"/>
  <c r="D79" i="26"/>
  <c r="D78" i="26"/>
  <c r="D77" i="26"/>
  <c r="D76" i="26"/>
  <c r="D75" i="26"/>
  <c r="D74" i="26"/>
  <c r="D73" i="26"/>
  <c r="D72" i="26"/>
  <c r="D71" i="26"/>
  <c r="D70" i="26"/>
  <c r="D69" i="26"/>
  <c r="D68" i="26"/>
  <c r="D67" i="26"/>
  <c r="D66" i="26"/>
  <c r="D65" i="26"/>
  <c r="D64" i="26"/>
  <c r="D63" i="26"/>
  <c r="D62" i="26"/>
  <c r="D61" i="26"/>
  <c r="D60" i="26"/>
  <c r="D59" i="26"/>
  <c r="D58" i="26"/>
  <c r="D57" i="26"/>
  <c r="D56" i="26"/>
  <c r="D55" i="26"/>
  <c r="S111" i="26"/>
  <c r="R111" i="26"/>
  <c r="Q111" i="26"/>
  <c r="S110" i="26"/>
  <c r="R110" i="26"/>
  <c r="Q110" i="26"/>
  <c r="S109" i="26"/>
  <c r="R109" i="26"/>
  <c r="Q109" i="26"/>
  <c r="S108" i="26"/>
  <c r="R108" i="26"/>
  <c r="Q108" i="26"/>
  <c r="S107" i="26"/>
  <c r="R107" i="26"/>
  <c r="Q107" i="26"/>
  <c r="S106" i="26"/>
  <c r="R106" i="26"/>
  <c r="Q106" i="26"/>
  <c r="S105" i="26"/>
  <c r="R105" i="26"/>
  <c r="Q105" i="26"/>
  <c r="S104" i="26"/>
  <c r="R104" i="26"/>
  <c r="Q104" i="26"/>
  <c r="S103" i="26"/>
  <c r="R103" i="26"/>
  <c r="Q103" i="26"/>
  <c r="S102" i="26"/>
  <c r="R102" i="26"/>
  <c r="Q102" i="26"/>
  <c r="S101" i="26"/>
  <c r="R101" i="26"/>
  <c r="Q101" i="26"/>
  <c r="S100" i="26"/>
  <c r="R100" i="26"/>
  <c r="Q100" i="26"/>
  <c r="S99" i="26"/>
  <c r="R99" i="26"/>
  <c r="Q99" i="26"/>
  <c r="S98" i="26"/>
  <c r="R98" i="26"/>
  <c r="Q98" i="26"/>
  <c r="S97" i="26"/>
  <c r="R97" i="26"/>
  <c r="Q97" i="26"/>
  <c r="S96" i="26"/>
  <c r="R96" i="26"/>
  <c r="Q96" i="26"/>
  <c r="S95" i="26"/>
  <c r="R95" i="26"/>
  <c r="Q95" i="26"/>
  <c r="S94" i="26"/>
  <c r="R94" i="26"/>
  <c r="Q94" i="26"/>
  <c r="S93" i="26"/>
  <c r="R93" i="26"/>
  <c r="Q93" i="26"/>
  <c r="S92" i="26"/>
  <c r="R92" i="26"/>
  <c r="Q92" i="26"/>
  <c r="S91" i="26"/>
  <c r="R91" i="26"/>
  <c r="Q91" i="26"/>
  <c r="S90" i="26"/>
  <c r="R90" i="26"/>
  <c r="Q90" i="26"/>
  <c r="S89" i="26"/>
  <c r="R89" i="26"/>
  <c r="Q89" i="26"/>
  <c r="S88" i="26"/>
  <c r="R88" i="26"/>
  <c r="Q88" i="26"/>
  <c r="S87" i="26"/>
  <c r="R87" i="26"/>
  <c r="Q87" i="26"/>
  <c r="S86" i="26"/>
  <c r="R86" i="26"/>
  <c r="Q86" i="26"/>
  <c r="D54" i="26"/>
  <c r="C54" i="26"/>
  <c r="C55" i="26" s="1"/>
  <c r="L10" i="32" l="1"/>
  <c r="P9" i="32"/>
  <c r="R9" i="32" s="1"/>
  <c r="L46" i="32"/>
  <c r="P45" i="32"/>
  <c r="R45" i="32" s="1"/>
  <c r="P46" i="32" l="1"/>
  <c r="R46" i="32" s="1"/>
  <c r="L47" i="32"/>
  <c r="P10" i="32"/>
  <c r="R10" i="32" s="1"/>
  <c r="L11" i="32"/>
  <c r="L12" i="32" l="1"/>
  <c r="P11" i="32"/>
  <c r="R11" i="32" s="1"/>
  <c r="L48" i="32"/>
  <c r="P47" i="32"/>
  <c r="R47" i="32" s="1"/>
  <c r="P48" i="32" l="1"/>
  <c r="R48" i="32" s="1"/>
  <c r="L49" i="32"/>
  <c r="P12" i="32"/>
  <c r="R12" i="32" s="1"/>
  <c r="L13" i="32"/>
  <c r="R2" i="26"/>
  <c r="L14" i="32" l="1"/>
  <c r="P13" i="32"/>
  <c r="R13" i="32" s="1"/>
  <c r="L50" i="32"/>
  <c r="P49" i="32"/>
  <c r="R49" i="32" s="1"/>
  <c r="AP7" i="26"/>
  <c r="AO7" i="26"/>
  <c r="AN7" i="26"/>
  <c r="AP6" i="26"/>
  <c r="AO6" i="26"/>
  <c r="AN6" i="26"/>
  <c r="AP5" i="26"/>
  <c r="AO5" i="26"/>
  <c r="AN5" i="26"/>
  <c r="AP4" i="26"/>
  <c r="AO4" i="26"/>
  <c r="AN4" i="26"/>
  <c r="AP3" i="26"/>
  <c r="AO3" i="26"/>
  <c r="AN3" i="26"/>
  <c r="AP2" i="26"/>
  <c r="AO2" i="26"/>
  <c r="AN2" i="26"/>
  <c r="S58" i="26"/>
  <c r="R58" i="26"/>
  <c r="Q58" i="26"/>
  <c r="S4" i="26"/>
  <c r="R4" i="26"/>
  <c r="Q4" i="26"/>
  <c r="H32" i="6"/>
  <c r="H32" i="17"/>
  <c r="F10" i="3"/>
  <c r="G10" i="3" s="1"/>
  <c r="D10" i="3"/>
  <c r="F9" i="3"/>
  <c r="G9" i="3" s="1"/>
  <c r="D9" i="3"/>
  <c r="F8" i="3"/>
  <c r="G8" i="3" s="1"/>
  <c r="D8" i="3"/>
  <c r="F7" i="3"/>
  <c r="G7" i="3" s="1"/>
  <c r="D7" i="3"/>
  <c r="F6" i="3"/>
  <c r="G6" i="3" s="1"/>
  <c r="D6" i="3"/>
  <c r="F5" i="3"/>
  <c r="G5" i="3" s="1"/>
  <c r="D5" i="3"/>
  <c r="F4" i="3"/>
  <c r="G4" i="3" s="1"/>
  <c r="D4" i="3"/>
  <c r="F3" i="3"/>
  <c r="G3" i="3" s="1"/>
  <c r="D3" i="3"/>
  <c r="E3" i="3" s="1"/>
  <c r="F2" i="3"/>
  <c r="G2" i="3" s="1"/>
  <c r="D2" i="3"/>
  <c r="E5" i="3" l="1"/>
  <c r="L51" i="32"/>
  <c r="P50" i="32"/>
  <c r="R50" i="32" s="1"/>
  <c r="L15" i="32"/>
  <c r="P14" i="32"/>
  <c r="R14" i="32" s="1"/>
  <c r="E6" i="3"/>
  <c r="E8" i="3"/>
  <c r="E10" i="3"/>
  <c r="E7" i="3"/>
  <c r="E2" i="3"/>
  <c r="E4" i="3"/>
  <c r="E9" i="3"/>
  <c r="W60" i="26"/>
  <c r="AA6" i="26"/>
  <c r="W6" i="26"/>
  <c r="AB6" i="26"/>
  <c r="Z60" i="26"/>
  <c r="AC6" i="26"/>
  <c r="AC7" i="26" s="1"/>
  <c r="Y6" i="26"/>
  <c r="X6" i="26"/>
  <c r="X7" i="26" s="1"/>
  <c r="X8" i="26" s="1"/>
  <c r="AC60" i="26"/>
  <c r="Y60" i="26"/>
  <c r="AB60" i="26"/>
  <c r="X60" i="26"/>
  <c r="AA60" i="26"/>
  <c r="Z6" i="26"/>
  <c r="Z7" i="26" s="1"/>
  <c r="P15" i="32" l="1"/>
  <c r="R15" i="32" s="1"/>
  <c r="L16" i="32"/>
  <c r="P51" i="32"/>
  <c r="R51" i="32" s="1"/>
  <c r="L52" i="32"/>
  <c r="AB61" i="26"/>
  <c r="AB62" i="26" s="1"/>
  <c r="AB63" i="26" s="1"/>
  <c r="AB64" i="26" s="1"/>
  <c r="AB65" i="26" s="1"/>
  <c r="AB66" i="26" s="1"/>
  <c r="AB67" i="26" s="1"/>
  <c r="AB68" i="26" s="1"/>
  <c r="AB69" i="26" s="1"/>
  <c r="AB70" i="26" s="1"/>
  <c r="AB71" i="26" s="1"/>
  <c r="AB72" i="26" s="1"/>
  <c r="AB73" i="26" s="1"/>
  <c r="AB74" i="26" s="1"/>
  <c r="AB75" i="26" s="1"/>
  <c r="AB76" i="26" s="1"/>
  <c r="AB77" i="26" s="1"/>
  <c r="AB78" i="26" s="1"/>
  <c r="AB79" i="26" s="1"/>
  <c r="AB80" i="26" s="1"/>
  <c r="AB81" i="26" s="1"/>
  <c r="AB82" i="26" s="1"/>
  <c r="AB83" i="26" s="1"/>
  <c r="AB84" i="26" s="1"/>
  <c r="AB85" i="26" s="1"/>
  <c r="AB86" i="26" s="1"/>
  <c r="AB87" i="26" s="1"/>
  <c r="AB88" i="26" s="1"/>
  <c r="AB89" i="26" s="1"/>
  <c r="AB90" i="26" s="1"/>
  <c r="AB91" i="26" s="1"/>
  <c r="AB92" i="26" s="1"/>
  <c r="AB93" i="26" s="1"/>
  <c r="AB94" i="26" s="1"/>
  <c r="AB95" i="26" s="1"/>
  <c r="AB96" i="26" s="1"/>
  <c r="AB97" i="26" s="1"/>
  <c r="AB98" i="26" s="1"/>
  <c r="AB99" i="26" s="1"/>
  <c r="AB100" i="26" s="1"/>
  <c r="AB101" i="26" s="1"/>
  <c r="AB102" i="26" s="1"/>
  <c r="AB103" i="26" s="1"/>
  <c r="AB104" i="26" s="1"/>
  <c r="AB105" i="26" s="1"/>
  <c r="AB106" i="26" s="1"/>
  <c r="AB107" i="26" s="1"/>
  <c r="AB108" i="26" s="1"/>
  <c r="AB109" i="26" s="1"/>
  <c r="AB110" i="26" s="1"/>
  <c r="AB111" i="26" s="1"/>
  <c r="X61" i="26"/>
  <c r="X62" i="26" s="1"/>
  <c r="X63" i="26" s="1"/>
  <c r="X64" i="26" s="1"/>
  <c r="X65" i="26" s="1"/>
  <c r="X66" i="26" s="1"/>
  <c r="X67" i="26" s="1"/>
  <c r="X68" i="26" s="1"/>
  <c r="X69" i="26" s="1"/>
  <c r="X70" i="26" s="1"/>
  <c r="X71" i="26" s="1"/>
  <c r="X72" i="26" s="1"/>
  <c r="X73" i="26" s="1"/>
  <c r="X74" i="26" s="1"/>
  <c r="X75" i="26" s="1"/>
  <c r="X76" i="26" s="1"/>
  <c r="X77" i="26" s="1"/>
  <c r="X78" i="26" s="1"/>
  <c r="X79" i="26" s="1"/>
  <c r="X80" i="26" s="1"/>
  <c r="X81" i="26" s="1"/>
  <c r="X82" i="26" s="1"/>
  <c r="X83" i="26" s="1"/>
  <c r="X84" i="26" s="1"/>
  <c r="X85" i="26" s="1"/>
  <c r="X86" i="26" s="1"/>
  <c r="X87" i="26" s="1"/>
  <c r="X88" i="26" s="1"/>
  <c r="X89" i="26" s="1"/>
  <c r="X90" i="26" s="1"/>
  <c r="X91" i="26" s="1"/>
  <c r="X92" i="26" s="1"/>
  <c r="X93" i="26" s="1"/>
  <c r="X94" i="26" s="1"/>
  <c r="X95" i="26" s="1"/>
  <c r="X96" i="26" s="1"/>
  <c r="X97" i="26" s="1"/>
  <c r="X98" i="26" s="1"/>
  <c r="X99" i="26" s="1"/>
  <c r="X100" i="26" s="1"/>
  <c r="X101" i="26" s="1"/>
  <c r="X102" i="26" s="1"/>
  <c r="X103" i="26" s="1"/>
  <c r="X104" i="26" s="1"/>
  <c r="X105" i="26" s="1"/>
  <c r="X106" i="26" s="1"/>
  <c r="X107" i="26" s="1"/>
  <c r="X108" i="26" s="1"/>
  <c r="X109" i="26" s="1"/>
  <c r="X110" i="26" s="1"/>
  <c r="X111" i="26" s="1"/>
  <c r="Y61" i="26"/>
  <c r="Y62" i="26" s="1"/>
  <c r="Y63" i="26" s="1"/>
  <c r="Y64" i="26" s="1"/>
  <c r="Y65" i="26" s="1"/>
  <c r="Y66" i="26" s="1"/>
  <c r="Y67" i="26" s="1"/>
  <c r="Y68" i="26" s="1"/>
  <c r="Y69" i="26" s="1"/>
  <c r="Y70" i="26" s="1"/>
  <c r="Y71" i="26" s="1"/>
  <c r="Y72" i="26" s="1"/>
  <c r="Y73" i="26" s="1"/>
  <c r="Y74" i="26" s="1"/>
  <c r="Y75" i="26" s="1"/>
  <c r="Y76" i="26" s="1"/>
  <c r="Y77" i="26" s="1"/>
  <c r="Y78" i="26" s="1"/>
  <c r="Y79" i="26" s="1"/>
  <c r="Y80" i="26" s="1"/>
  <c r="Y81" i="26" s="1"/>
  <c r="Y82" i="26" s="1"/>
  <c r="Y83" i="26" s="1"/>
  <c r="Y84" i="26" s="1"/>
  <c r="Y85" i="26" s="1"/>
  <c r="Y86" i="26" s="1"/>
  <c r="Y87" i="26" s="1"/>
  <c r="Y88" i="26" s="1"/>
  <c r="Y89" i="26" s="1"/>
  <c r="Y90" i="26" s="1"/>
  <c r="Y91" i="26" s="1"/>
  <c r="Y92" i="26" s="1"/>
  <c r="Y93" i="26" s="1"/>
  <c r="Y94" i="26" s="1"/>
  <c r="Y95" i="26" s="1"/>
  <c r="Y96" i="26" s="1"/>
  <c r="Y97" i="26" s="1"/>
  <c r="Y98" i="26" s="1"/>
  <c r="Y99" i="26" s="1"/>
  <c r="Y100" i="26" s="1"/>
  <c r="Y101" i="26" s="1"/>
  <c r="Y102" i="26" s="1"/>
  <c r="Y103" i="26" s="1"/>
  <c r="Y104" i="26" s="1"/>
  <c r="Y105" i="26" s="1"/>
  <c r="Y106" i="26" s="1"/>
  <c r="Y107" i="26" s="1"/>
  <c r="Y108" i="26" s="1"/>
  <c r="Y109" i="26" s="1"/>
  <c r="Y110" i="26" s="1"/>
  <c r="Y111" i="26" s="1"/>
  <c r="AA61" i="26"/>
  <c r="AA62" i="26" s="1"/>
  <c r="AA63" i="26" s="1"/>
  <c r="AA64" i="26" s="1"/>
  <c r="AA65" i="26" s="1"/>
  <c r="AA66" i="26" s="1"/>
  <c r="AA67" i="26" s="1"/>
  <c r="AA68" i="26" s="1"/>
  <c r="AA69" i="26" s="1"/>
  <c r="AA70" i="26" s="1"/>
  <c r="AA71" i="26" s="1"/>
  <c r="AA72" i="26" s="1"/>
  <c r="AA73" i="26" s="1"/>
  <c r="AA74" i="26" s="1"/>
  <c r="AA75" i="26" s="1"/>
  <c r="AA76" i="26" s="1"/>
  <c r="AA77" i="26" s="1"/>
  <c r="AA78" i="26" s="1"/>
  <c r="AA79" i="26" s="1"/>
  <c r="AA80" i="26" s="1"/>
  <c r="AA81" i="26" s="1"/>
  <c r="AA82" i="26" s="1"/>
  <c r="AA83" i="26" s="1"/>
  <c r="AA84" i="26" s="1"/>
  <c r="AA85" i="26" s="1"/>
  <c r="AA86" i="26" s="1"/>
  <c r="AA87" i="26" s="1"/>
  <c r="AA88" i="26" s="1"/>
  <c r="AA89" i="26" s="1"/>
  <c r="AA90" i="26" s="1"/>
  <c r="AA91" i="26" s="1"/>
  <c r="AA92" i="26" s="1"/>
  <c r="AA93" i="26" s="1"/>
  <c r="AA94" i="26" s="1"/>
  <c r="AA95" i="26" s="1"/>
  <c r="AA96" i="26" s="1"/>
  <c r="AA97" i="26" s="1"/>
  <c r="AA98" i="26" s="1"/>
  <c r="AA99" i="26" s="1"/>
  <c r="AA100" i="26" s="1"/>
  <c r="AA101" i="26" s="1"/>
  <c r="AA102" i="26" s="1"/>
  <c r="AA103" i="26" s="1"/>
  <c r="AA104" i="26" s="1"/>
  <c r="AA105" i="26" s="1"/>
  <c r="AA106" i="26" s="1"/>
  <c r="AA107" i="26" s="1"/>
  <c r="AA108" i="26" s="1"/>
  <c r="AA109" i="26" s="1"/>
  <c r="AA110" i="26" s="1"/>
  <c r="AA111" i="26" s="1"/>
  <c r="AC61" i="26"/>
  <c r="AC62" i="26" s="1"/>
  <c r="AC63" i="26" s="1"/>
  <c r="AC64" i="26" s="1"/>
  <c r="AC65" i="26" s="1"/>
  <c r="AC66" i="26" s="1"/>
  <c r="AC67" i="26" s="1"/>
  <c r="AC68" i="26" s="1"/>
  <c r="AC69" i="26" s="1"/>
  <c r="AC70" i="26" s="1"/>
  <c r="AC71" i="26" s="1"/>
  <c r="AC72" i="26" s="1"/>
  <c r="AC73" i="26" s="1"/>
  <c r="AC74" i="26" s="1"/>
  <c r="AC75" i="26" s="1"/>
  <c r="AC76" i="26" s="1"/>
  <c r="AC77" i="26" s="1"/>
  <c r="AC78" i="26" s="1"/>
  <c r="AC79" i="26" s="1"/>
  <c r="AC80" i="26" s="1"/>
  <c r="AC81" i="26" s="1"/>
  <c r="AC82" i="26" s="1"/>
  <c r="AC83" i="26" s="1"/>
  <c r="AC84" i="26" s="1"/>
  <c r="AC85" i="26" s="1"/>
  <c r="AC86" i="26" s="1"/>
  <c r="AC87" i="26" s="1"/>
  <c r="AC88" i="26" s="1"/>
  <c r="AC89" i="26" s="1"/>
  <c r="AC90" i="26" s="1"/>
  <c r="AC91" i="26" s="1"/>
  <c r="AC92" i="26" s="1"/>
  <c r="AC93" i="26" s="1"/>
  <c r="AC94" i="26" s="1"/>
  <c r="AC95" i="26" s="1"/>
  <c r="AC96" i="26" s="1"/>
  <c r="AC97" i="26" s="1"/>
  <c r="AC98" i="26" s="1"/>
  <c r="AC99" i="26" s="1"/>
  <c r="AC100" i="26" s="1"/>
  <c r="AC101" i="26" s="1"/>
  <c r="AC102" i="26" s="1"/>
  <c r="AC103" i="26" s="1"/>
  <c r="AC104" i="26" s="1"/>
  <c r="AC105" i="26" s="1"/>
  <c r="AC106" i="26" s="1"/>
  <c r="AC107" i="26" s="1"/>
  <c r="AC108" i="26" s="1"/>
  <c r="AC109" i="26" s="1"/>
  <c r="AC110" i="26" s="1"/>
  <c r="AC111" i="26" s="1"/>
  <c r="Z61" i="26"/>
  <c r="Z62" i="26" s="1"/>
  <c r="Z63" i="26" s="1"/>
  <c r="Z64" i="26" s="1"/>
  <c r="Z65" i="26" s="1"/>
  <c r="Z66" i="26" s="1"/>
  <c r="Z67" i="26" s="1"/>
  <c r="Z68" i="26" s="1"/>
  <c r="Z69" i="26" s="1"/>
  <c r="Z70" i="26" s="1"/>
  <c r="Z71" i="26" s="1"/>
  <c r="Z72" i="26" s="1"/>
  <c r="Z73" i="26" s="1"/>
  <c r="Z74" i="26" s="1"/>
  <c r="Z75" i="26" s="1"/>
  <c r="Z76" i="26" s="1"/>
  <c r="Z77" i="26" s="1"/>
  <c r="Z78" i="26" s="1"/>
  <c r="Z79" i="26" s="1"/>
  <c r="Z80" i="26" s="1"/>
  <c r="Z81" i="26" s="1"/>
  <c r="Z82" i="26" s="1"/>
  <c r="Z83" i="26" s="1"/>
  <c r="Z84" i="26" s="1"/>
  <c r="Z85" i="26" s="1"/>
  <c r="Z86" i="26" s="1"/>
  <c r="Z87" i="26" s="1"/>
  <c r="Z88" i="26" s="1"/>
  <c r="Z89" i="26" s="1"/>
  <c r="Z90" i="26" s="1"/>
  <c r="Z91" i="26" s="1"/>
  <c r="Z92" i="26" s="1"/>
  <c r="Z93" i="26" s="1"/>
  <c r="Z94" i="26" s="1"/>
  <c r="Z95" i="26" s="1"/>
  <c r="Z96" i="26" s="1"/>
  <c r="Z97" i="26" s="1"/>
  <c r="Z98" i="26" s="1"/>
  <c r="Z99" i="26" s="1"/>
  <c r="Z100" i="26" s="1"/>
  <c r="Z101" i="26" s="1"/>
  <c r="Z102" i="26" s="1"/>
  <c r="Z103" i="26" s="1"/>
  <c r="Z104" i="26" s="1"/>
  <c r="Z105" i="26" s="1"/>
  <c r="Z106" i="26" s="1"/>
  <c r="Z107" i="26" s="1"/>
  <c r="Z108" i="26" s="1"/>
  <c r="Z109" i="26" s="1"/>
  <c r="Z110" i="26" s="1"/>
  <c r="Z111" i="26" s="1"/>
  <c r="W61" i="26"/>
  <c r="W62" i="26" s="1"/>
  <c r="W63" i="26" s="1"/>
  <c r="W64" i="26" s="1"/>
  <c r="W65" i="26" s="1"/>
  <c r="W66" i="26" s="1"/>
  <c r="W67" i="26" s="1"/>
  <c r="W68" i="26" s="1"/>
  <c r="W69" i="26" s="1"/>
  <c r="W70" i="26" s="1"/>
  <c r="W71" i="26" s="1"/>
  <c r="W72" i="26" s="1"/>
  <c r="W73" i="26" s="1"/>
  <c r="W74" i="26" s="1"/>
  <c r="W75" i="26" s="1"/>
  <c r="W76" i="26" s="1"/>
  <c r="W77" i="26" s="1"/>
  <c r="W78" i="26" s="1"/>
  <c r="W79" i="26" s="1"/>
  <c r="W80" i="26" s="1"/>
  <c r="W81" i="26" s="1"/>
  <c r="W82" i="26" s="1"/>
  <c r="W83" i="26" s="1"/>
  <c r="W84" i="26" s="1"/>
  <c r="W85" i="26" s="1"/>
  <c r="W86" i="26" s="1"/>
  <c r="W87" i="26" s="1"/>
  <c r="W88" i="26" s="1"/>
  <c r="W89" i="26" s="1"/>
  <c r="W90" i="26" s="1"/>
  <c r="W91" i="26" s="1"/>
  <c r="W92" i="26" s="1"/>
  <c r="W93" i="26" s="1"/>
  <c r="W94" i="26" s="1"/>
  <c r="W95" i="26" s="1"/>
  <c r="W96" i="26" s="1"/>
  <c r="W97" i="26" s="1"/>
  <c r="W98" i="26" s="1"/>
  <c r="W99" i="26" s="1"/>
  <c r="W100" i="26" s="1"/>
  <c r="W101" i="26" s="1"/>
  <c r="W102" i="26" s="1"/>
  <c r="W103" i="26" s="1"/>
  <c r="W104" i="26" s="1"/>
  <c r="W105" i="26" s="1"/>
  <c r="W106" i="26" s="1"/>
  <c r="W107" i="26" s="1"/>
  <c r="W108" i="26" s="1"/>
  <c r="W109" i="26" s="1"/>
  <c r="W110" i="26" s="1"/>
  <c r="W111" i="26" s="1"/>
  <c r="G54" i="26"/>
  <c r="L54" i="26"/>
  <c r="I54" i="26"/>
  <c r="Z8" i="26"/>
  <c r="K54" i="26"/>
  <c r="AB7" i="26"/>
  <c r="X9" i="26"/>
  <c r="Y7" i="26"/>
  <c r="W7" i="26"/>
  <c r="M54" i="26"/>
  <c r="J54" i="26"/>
  <c r="H54" i="26"/>
  <c r="AA7" i="26"/>
  <c r="AC8" i="26"/>
  <c r="L53" i="32" l="1"/>
  <c r="P52" i="32"/>
  <c r="R52" i="32" s="1"/>
  <c r="L17" i="32"/>
  <c r="P16" i="32"/>
  <c r="R16" i="32" s="1"/>
  <c r="H55" i="26"/>
  <c r="H56" i="26"/>
  <c r="M55" i="26"/>
  <c r="J55" i="26"/>
  <c r="I55" i="26"/>
  <c r="Y8" i="26"/>
  <c r="M56" i="26"/>
  <c r="AC9" i="26"/>
  <c r="K55" i="26"/>
  <c r="AA8" i="26"/>
  <c r="J56" i="26"/>
  <c r="Z9" i="26"/>
  <c r="H57" i="26"/>
  <c r="X10" i="26"/>
  <c r="G55" i="26"/>
  <c r="W8" i="26"/>
  <c r="L55" i="26"/>
  <c r="AB8" i="26"/>
  <c r="P53" i="32" l="1"/>
  <c r="R53" i="32" s="1"/>
  <c r="L54" i="32"/>
  <c r="P17" i="32"/>
  <c r="R17" i="32" s="1"/>
  <c r="L18" i="32"/>
  <c r="J57" i="26"/>
  <c r="Z10" i="26"/>
  <c r="M57" i="26"/>
  <c r="AC10" i="26"/>
  <c r="G56" i="26"/>
  <c r="W9" i="26"/>
  <c r="L56" i="26"/>
  <c r="AB9" i="26"/>
  <c r="I56" i="26"/>
  <c r="Y9" i="26"/>
  <c r="H58" i="26"/>
  <c r="X11" i="26"/>
  <c r="K56" i="26"/>
  <c r="AA9" i="26"/>
  <c r="L19" i="32" l="1"/>
  <c r="P18" i="32"/>
  <c r="R18" i="32" s="1"/>
  <c r="L55" i="32"/>
  <c r="P54" i="32"/>
  <c r="R54" i="32" s="1"/>
  <c r="H59" i="26"/>
  <c r="X12" i="26"/>
  <c r="L57" i="26"/>
  <c r="AB10" i="26"/>
  <c r="M58" i="26"/>
  <c r="AC11" i="26"/>
  <c r="K57" i="26"/>
  <c r="AA10" i="26"/>
  <c r="I57" i="26"/>
  <c r="Y10" i="26"/>
  <c r="G57" i="26"/>
  <c r="W10" i="26"/>
  <c r="J58" i="26"/>
  <c r="Z11" i="26"/>
  <c r="P55" i="32" l="1"/>
  <c r="R55" i="32" s="1"/>
  <c r="L56" i="32"/>
  <c r="P19" i="32"/>
  <c r="R19" i="32" s="1"/>
  <c r="L20" i="32"/>
  <c r="K58" i="26"/>
  <c r="AA11" i="26"/>
  <c r="L58" i="26"/>
  <c r="AB11" i="26"/>
  <c r="I58" i="26"/>
  <c r="Y11" i="26"/>
  <c r="G58" i="26"/>
  <c r="W11" i="26"/>
  <c r="J59" i="26"/>
  <c r="Z12" i="26"/>
  <c r="M59" i="26"/>
  <c r="AC12" i="26"/>
  <c r="H60" i="26"/>
  <c r="X13" i="26"/>
  <c r="L21" i="32" l="1"/>
  <c r="P20" i="32"/>
  <c r="R20" i="32" s="1"/>
  <c r="L57" i="32"/>
  <c r="P56" i="32"/>
  <c r="R56" i="32" s="1"/>
  <c r="M60" i="26"/>
  <c r="AC13" i="26"/>
  <c r="L59" i="26"/>
  <c r="AB12" i="26"/>
  <c r="G59" i="26"/>
  <c r="W12" i="26"/>
  <c r="J60" i="26"/>
  <c r="Z13" i="26"/>
  <c r="K59" i="26"/>
  <c r="AA12" i="26"/>
  <c r="H61" i="26"/>
  <c r="X14" i="26"/>
  <c r="I59" i="26"/>
  <c r="Y12" i="26"/>
  <c r="P21" i="32" l="1"/>
  <c r="R21" i="32" s="1"/>
  <c r="L22" i="32"/>
  <c r="P57" i="32"/>
  <c r="R57" i="32" s="1"/>
  <c r="L58" i="32"/>
  <c r="J61" i="26"/>
  <c r="Z14" i="26"/>
  <c r="L60" i="26"/>
  <c r="AB13" i="26"/>
  <c r="H62" i="26"/>
  <c r="X15" i="26"/>
  <c r="K60" i="26"/>
  <c r="AA13" i="26"/>
  <c r="M61" i="26"/>
  <c r="AC14" i="26"/>
  <c r="I60" i="26"/>
  <c r="Y13" i="26"/>
  <c r="G60" i="26"/>
  <c r="W13" i="26"/>
  <c r="P58" i="32" l="1"/>
  <c r="R58" i="32" s="1"/>
  <c r="L59" i="32"/>
  <c r="L23" i="32"/>
  <c r="P22" i="32"/>
  <c r="R22" i="32" s="1"/>
  <c r="L61" i="26"/>
  <c r="AB14" i="26"/>
  <c r="I61" i="26"/>
  <c r="Y14" i="26"/>
  <c r="G61" i="26"/>
  <c r="W14" i="26"/>
  <c r="J62" i="26"/>
  <c r="Z15" i="26"/>
  <c r="K61" i="26"/>
  <c r="AA14" i="26"/>
  <c r="M62" i="26"/>
  <c r="AC15" i="26"/>
  <c r="H63" i="26"/>
  <c r="X16" i="26"/>
  <c r="P23" i="32" l="1"/>
  <c r="R23" i="32" s="1"/>
  <c r="L24" i="32"/>
  <c r="P59" i="32"/>
  <c r="R59" i="32" s="1"/>
  <c r="L60" i="32"/>
  <c r="M63" i="26"/>
  <c r="AC16" i="26"/>
  <c r="I62" i="26"/>
  <c r="Y15" i="26"/>
  <c r="K62" i="26"/>
  <c r="AA15" i="26"/>
  <c r="L62" i="26"/>
  <c r="AB15" i="26"/>
  <c r="J63" i="26"/>
  <c r="Z16" i="26"/>
  <c r="H64" i="26"/>
  <c r="X17" i="26"/>
  <c r="G62" i="26"/>
  <c r="W15" i="26"/>
  <c r="L61" i="32" l="1"/>
  <c r="P60" i="32"/>
  <c r="R60" i="32" s="1"/>
  <c r="L25" i="32"/>
  <c r="P24" i="32"/>
  <c r="R24" i="32" s="1"/>
  <c r="H65" i="26"/>
  <c r="X18" i="26"/>
  <c r="L63" i="26"/>
  <c r="AB16" i="26"/>
  <c r="I63" i="26"/>
  <c r="Y16" i="26"/>
  <c r="G63" i="26"/>
  <c r="W16" i="26"/>
  <c r="J64" i="26"/>
  <c r="Z17" i="26"/>
  <c r="K63" i="26"/>
  <c r="AA16" i="26"/>
  <c r="M64" i="26"/>
  <c r="AC17" i="26"/>
  <c r="P25" i="32" l="1"/>
  <c r="R25" i="32" s="1"/>
  <c r="L26" i="32"/>
  <c r="P61" i="32"/>
  <c r="R61" i="32" s="1"/>
  <c r="L62" i="32"/>
  <c r="X19" i="26"/>
  <c r="H66" i="26"/>
  <c r="M65" i="26"/>
  <c r="AC18" i="26"/>
  <c r="J65" i="26"/>
  <c r="Z18" i="26"/>
  <c r="I64" i="26"/>
  <c r="Y17" i="26"/>
  <c r="K64" i="26"/>
  <c r="AA17" i="26"/>
  <c r="G64" i="26"/>
  <c r="W17" i="26"/>
  <c r="L64" i="26"/>
  <c r="AB17" i="26"/>
  <c r="P62" i="32" l="1"/>
  <c r="R62" i="32" s="1"/>
  <c r="L63" i="32"/>
  <c r="P26" i="32"/>
  <c r="R26" i="32" s="1"/>
  <c r="L27" i="32"/>
  <c r="AC19" i="26"/>
  <c r="M66" i="26"/>
  <c r="Z19" i="26"/>
  <c r="J66" i="26"/>
  <c r="X20" i="26"/>
  <c r="H67" i="26"/>
  <c r="L65" i="26"/>
  <c r="AB18" i="26"/>
  <c r="K65" i="26"/>
  <c r="AA18" i="26"/>
  <c r="G65" i="26"/>
  <c r="W18" i="26"/>
  <c r="I65" i="26"/>
  <c r="Y18" i="26"/>
  <c r="L28" i="32" l="1"/>
  <c r="P27" i="32"/>
  <c r="R27" i="32" s="1"/>
  <c r="P63" i="32"/>
  <c r="R63" i="32" s="1"/>
  <c r="L64" i="32"/>
  <c r="Z20" i="26"/>
  <c r="J67" i="26"/>
  <c r="AB19" i="26"/>
  <c r="L66" i="26"/>
  <c r="Y19" i="26"/>
  <c r="I66" i="26"/>
  <c r="AA19" i="26"/>
  <c r="K66" i="26"/>
  <c r="W19" i="26"/>
  <c r="G66" i="26"/>
  <c r="X21" i="26"/>
  <c r="H68" i="26"/>
  <c r="AC20" i="26"/>
  <c r="M67" i="26"/>
  <c r="P64" i="32" l="1"/>
  <c r="R64" i="32" s="1"/>
  <c r="L65" i="32"/>
  <c r="P28" i="32"/>
  <c r="R28" i="32" s="1"/>
  <c r="L29" i="32"/>
  <c r="X22" i="26"/>
  <c r="H69" i="26"/>
  <c r="AA20" i="26"/>
  <c r="K67" i="26"/>
  <c r="AB20" i="26"/>
  <c r="L67" i="26"/>
  <c r="AC21" i="26"/>
  <c r="M68" i="26"/>
  <c r="W20" i="26"/>
  <c r="G67" i="26"/>
  <c r="Y20" i="26"/>
  <c r="I67" i="26"/>
  <c r="Z21" i="26"/>
  <c r="J68" i="26"/>
  <c r="L30" i="32" l="1"/>
  <c r="P29" i="32"/>
  <c r="R29" i="32" s="1"/>
  <c r="L66" i="32"/>
  <c r="P65" i="32"/>
  <c r="R65" i="32" s="1"/>
  <c r="Y21" i="26"/>
  <c r="I68" i="26"/>
  <c r="AC22" i="26"/>
  <c r="M69" i="26"/>
  <c r="AA21" i="26"/>
  <c r="K68" i="26"/>
  <c r="Z22" i="26"/>
  <c r="J69" i="26"/>
  <c r="W21" i="26"/>
  <c r="G68" i="26"/>
  <c r="AB21" i="26"/>
  <c r="L68" i="26"/>
  <c r="X23" i="26"/>
  <c r="H70" i="26"/>
  <c r="P66" i="32" l="1"/>
  <c r="R66" i="32" s="1"/>
  <c r="L67" i="32"/>
  <c r="P30" i="32"/>
  <c r="R30" i="32" s="1"/>
  <c r="L31" i="32"/>
  <c r="Z23" i="26"/>
  <c r="J70" i="26"/>
  <c r="AC23" i="26"/>
  <c r="M70" i="26"/>
  <c r="AB22" i="26"/>
  <c r="L69" i="26"/>
  <c r="X24" i="26"/>
  <c r="H71" i="26"/>
  <c r="W22" i="26"/>
  <c r="G69" i="26"/>
  <c r="AA22" i="26"/>
  <c r="K69" i="26"/>
  <c r="Y22" i="26"/>
  <c r="I69" i="26"/>
  <c r="L32" i="32" l="1"/>
  <c r="P31" i="32"/>
  <c r="R31" i="32" s="1"/>
  <c r="P67" i="32"/>
  <c r="R67" i="32" s="1"/>
  <c r="L68" i="32"/>
  <c r="AA23" i="26"/>
  <c r="K70" i="26"/>
  <c r="X25" i="26"/>
  <c r="H72" i="26"/>
  <c r="AC24" i="26"/>
  <c r="M71" i="26"/>
  <c r="Y23" i="26"/>
  <c r="I70" i="26"/>
  <c r="W23" i="26"/>
  <c r="G70" i="26"/>
  <c r="AB23" i="26"/>
  <c r="L70" i="26"/>
  <c r="Z24" i="26"/>
  <c r="J71" i="26"/>
  <c r="P68" i="32" l="1"/>
  <c r="R68" i="32" s="1"/>
  <c r="L69" i="32"/>
  <c r="P32" i="32"/>
  <c r="R32" i="32" s="1"/>
  <c r="L33" i="32"/>
  <c r="AB24" i="26"/>
  <c r="L71" i="26"/>
  <c r="Y24" i="26"/>
  <c r="I71" i="26"/>
  <c r="X26" i="26"/>
  <c r="H73" i="26"/>
  <c r="Z25" i="26"/>
  <c r="J72" i="26"/>
  <c r="W24" i="26"/>
  <c r="G71" i="26"/>
  <c r="AC25" i="26"/>
  <c r="M72" i="26"/>
  <c r="AA24" i="26"/>
  <c r="K71" i="26"/>
  <c r="L34" i="32" l="1"/>
  <c r="P33" i="32"/>
  <c r="R33" i="32" s="1"/>
  <c r="L70" i="32"/>
  <c r="P69" i="32"/>
  <c r="R69" i="32" s="1"/>
  <c r="Z26" i="26"/>
  <c r="J73" i="26"/>
  <c r="Y25" i="26"/>
  <c r="I72" i="26"/>
  <c r="AC26" i="26"/>
  <c r="M73" i="26"/>
  <c r="AA25" i="26"/>
  <c r="K72" i="26"/>
  <c r="W25" i="26"/>
  <c r="G72" i="26"/>
  <c r="X27" i="26"/>
  <c r="H74" i="26"/>
  <c r="AB25" i="26"/>
  <c r="L72" i="26"/>
  <c r="P70" i="32" l="1"/>
  <c r="R70" i="32" s="1"/>
  <c r="L71" i="32"/>
  <c r="P34" i="32"/>
  <c r="R34" i="32" s="1"/>
  <c r="L35" i="32"/>
  <c r="AA26" i="26"/>
  <c r="K73" i="26"/>
  <c r="Y26" i="26"/>
  <c r="I73" i="26"/>
  <c r="X28" i="26"/>
  <c r="H75" i="26"/>
  <c r="AB26" i="26"/>
  <c r="L73" i="26"/>
  <c r="W26" i="26"/>
  <c r="G73" i="26"/>
  <c r="AC27" i="26"/>
  <c r="M74" i="26"/>
  <c r="Z27" i="26"/>
  <c r="J74" i="26"/>
  <c r="L36" i="32" l="1"/>
  <c r="P35" i="32"/>
  <c r="R35" i="32" s="1"/>
  <c r="P71" i="32"/>
  <c r="R71" i="32" s="1"/>
  <c r="L72" i="32"/>
  <c r="AB27" i="26"/>
  <c r="L74" i="26"/>
  <c r="Y27" i="26"/>
  <c r="I74" i="26"/>
  <c r="AC28" i="26"/>
  <c r="M75" i="26"/>
  <c r="Z28" i="26"/>
  <c r="J75" i="26"/>
  <c r="W27" i="26"/>
  <c r="G74" i="26"/>
  <c r="X29" i="26"/>
  <c r="H76" i="26"/>
  <c r="AA27" i="26"/>
  <c r="K74" i="26"/>
  <c r="P36" i="32" l="1"/>
  <c r="R36" i="32" s="1"/>
  <c r="L37" i="32"/>
  <c r="P37" i="32" s="1"/>
  <c r="R37" i="32" s="1"/>
  <c r="P72" i="32"/>
  <c r="R72" i="32" s="1"/>
  <c r="L73" i="32"/>
  <c r="P73" i="32" s="1"/>
  <c r="R73" i="32" s="1"/>
  <c r="X30" i="26"/>
  <c r="H77" i="26"/>
  <c r="Z29" i="26"/>
  <c r="J76" i="26"/>
  <c r="Y28" i="26"/>
  <c r="I75" i="26"/>
  <c r="AA28" i="26"/>
  <c r="K75" i="26"/>
  <c r="W28" i="26"/>
  <c r="G75" i="26"/>
  <c r="AC29" i="26"/>
  <c r="M76" i="26"/>
  <c r="AB28" i="26"/>
  <c r="L75" i="26"/>
  <c r="AC30" i="26" l="1"/>
  <c r="M77" i="26"/>
  <c r="Z30" i="26"/>
  <c r="J77" i="26"/>
  <c r="AA29" i="26"/>
  <c r="K76" i="26"/>
  <c r="AB29" i="26"/>
  <c r="L76" i="26"/>
  <c r="W29" i="26"/>
  <c r="G76" i="26"/>
  <c r="Y29" i="26"/>
  <c r="I76" i="26"/>
  <c r="X31" i="26"/>
  <c r="H78" i="26"/>
  <c r="Y30" i="26" l="1"/>
  <c r="I77" i="26"/>
  <c r="AB30" i="26"/>
  <c r="L77" i="26"/>
  <c r="Z31" i="26"/>
  <c r="J78" i="26"/>
  <c r="X32" i="26"/>
  <c r="H79" i="26"/>
  <c r="W30" i="26"/>
  <c r="G77" i="26"/>
  <c r="AA30" i="26"/>
  <c r="K77" i="26"/>
  <c r="AC31" i="26"/>
  <c r="M78" i="26"/>
  <c r="X33" i="26" l="1"/>
  <c r="H80" i="26"/>
  <c r="AB31" i="26"/>
  <c r="L78" i="26"/>
  <c r="AA31" i="26"/>
  <c r="K78" i="26"/>
  <c r="AC32" i="26"/>
  <c r="M79" i="26"/>
  <c r="W31" i="26"/>
  <c r="G78" i="26"/>
  <c r="Z32" i="26"/>
  <c r="J79" i="26"/>
  <c r="Y31" i="26"/>
  <c r="I78" i="26"/>
  <c r="Z33" i="26" l="1"/>
  <c r="J80" i="26"/>
  <c r="AB32" i="26"/>
  <c r="L79" i="26"/>
  <c r="AC33" i="26"/>
  <c r="M80" i="26"/>
  <c r="Y32" i="26"/>
  <c r="I79" i="26"/>
  <c r="W32" i="26"/>
  <c r="G79" i="26"/>
  <c r="AA32" i="26"/>
  <c r="K79" i="26"/>
  <c r="X34" i="26"/>
  <c r="H81" i="26"/>
  <c r="AB33" i="26" l="1"/>
  <c r="L80" i="26"/>
  <c r="Y33" i="26"/>
  <c r="I80" i="26"/>
  <c r="AA33" i="26"/>
  <c r="K80" i="26"/>
  <c r="X35" i="26"/>
  <c r="H82" i="26"/>
  <c r="W33" i="26"/>
  <c r="G80" i="26"/>
  <c r="AC34" i="26"/>
  <c r="M81" i="26"/>
  <c r="Z34" i="26"/>
  <c r="J81" i="26"/>
  <c r="X36" i="26" l="1"/>
  <c r="H83" i="26"/>
  <c r="AC35" i="26"/>
  <c r="M82" i="26"/>
  <c r="Y34" i="26"/>
  <c r="I81" i="26"/>
  <c r="Z35" i="26"/>
  <c r="J82" i="26"/>
  <c r="W34" i="26"/>
  <c r="G81" i="26"/>
  <c r="AA34" i="26"/>
  <c r="K81" i="26"/>
  <c r="AB34" i="26"/>
  <c r="L81" i="26"/>
  <c r="AA35" i="26" l="1"/>
  <c r="K82" i="26"/>
  <c r="Z36" i="26"/>
  <c r="J83" i="26"/>
  <c r="AC36" i="26"/>
  <c r="M83" i="26"/>
  <c r="AB35" i="26"/>
  <c r="L82" i="26"/>
  <c r="W35" i="26"/>
  <c r="G82" i="26"/>
  <c r="Y35" i="26"/>
  <c r="I82" i="26"/>
  <c r="X37" i="26"/>
  <c r="H84" i="26"/>
  <c r="AB36" i="26" l="1"/>
  <c r="L83" i="26"/>
  <c r="Z37" i="26"/>
  <c r="J84" i="26"/>
  <c r="Y36" i="26"/>
  <c r="I83" i="26"/>
  <c r="X38" i="26"/>
  <c r="H85" i="26"/>
  <c r="W36" i="26"/>
  <c r="G83" i="26"/>
  <c r="AC37" i="26"/>
  <c r="M84" i="26"/>
  <c r="AA36" i="26"/>
  <c r="K83" i="26"/>
  <c r="X39" i="26" l="1"/>
  <c r="H86" i="26"/>
  <c r="Z38" i="26"/>
  <c r="J85" i="26"/>
  <c r="AC38" i="26"/>
  <c r="M85" i="26"/>
  <c r="AA37" i="26"/>
  <c r="K84" i="26"/>
  <c r="W37" i="26"/>
  <c r="G84" i="26"/>
  <c r="Y37" i="26"/>
  <c r="I84" i="26"/>
  <c r="AB37" i="26"/>
  <c r="L84" i="26"/>
  <c r="Y38" i="26" l="1"/>
  <c r="I85" i="26"/>
  <c r="AA38" i="26"/>
  <c r="K85" i="26"/>
  <c r="Z39" i="26"/>
  <c r="J86" i="26"/>
  <c r="AB38" i="26"/>
  <c r="L85" i="26"/>
  <c r="W38" i="26"/>
  <c r="G85" i="26"/>
  <c r="AC39" i="26"/>
  <c r="M86" i="26"/>
  <c r="X40" i="26"/>
  <c r="H87" i="26"/>
  <c r="AC40" i="26" l="1"/>
  <c r="M87" i="26"/>
  <c r="AB39" i="26"/>
  <c r="L86" i="26"/>
  <c r="AA39" i="26"/>
  <c r="K86" i="26"/>
  <c r="X41" i="26"/>
  <c r="H88" i="26"/>
  <c r="W39" i="26"/>
  <c r="G86" i="26"/>
  <c r="Z40" i="26"/>
  <c r="J87" i="26"/>
  <c r="Y39" i="26"/>
  <c r="I86" i="26"/>
  <c r="X42" i="26" l="1"/>
  <c r="H89" i="26"/>
  <c r="AB40" i="26"/>
  <c r="L87" i="26"/>
  <c r="Z41" i="26"/>
  <c r="J88" i="26"/>
  <c r="Y40" i="26"/>
  <c r="I87" i="26"/>
  <c r="W40" i="26"/>
  <c r="G87" i="26"/>
  <c r="AA40" i="26"/>
  <c r="K87" i="26"/>
  <c r="AC41" i="26"/>
  <c r="M88" i="26"/>
  <c r="AB41" i="26" l="1"/>
  <c r="L88" i="26"/>
  <c r="Y41" i="26"/>
  <c r="I88" i="26"/>
  <c r="AA41" i="26"/>
  <c r="K88" i="26"/>
  <c r="AC42" i="26"/>
  <c r="M89" i="26"/>
  <c r="W41" i="26"/>
  <c r="G88" i="26"/>
  <c r="Z42" i="26"/>
  <c r="J89" i="26"/>
  <c r="X43" i="26"/>
  <c r="H90" i="26"/>
  <c r="AC43" i="26" l="1"/>
  <c r="M90" i="26"/>
  <c r="Y42" i="26"/>
  <c r="I89" i="26"/>
  <c r="Z43" i="26"/>
  <c r="J90" i="26"/>
  <c r="X44" i="26"/>
  <c r="H91" i="26"/>
  <c r="W42" i="26"/>
  <c r="G89" i="26"/>
  <c r="AA42" i="26"/>
  <c r="K89" i="26"/>
  <c r="AB42" i="26"/>
  <c r="L89" i="26"/>
  <c r="X45" i="26" l="1"/>
  <c r="H92" i="26"/>
  <c r="Y43" i="26"/>
  <c r="I90" i="26"/>
  <c r="AA43" i="26"/>
  <c r="K90" i="26"/>
  <c r="AB43" i="26"/>
  <c r="L90" i="26"/>
  <c r="W43" i="26"/>
  <c r="G90" i="26"/>
  <c r="Z44" i="26"/>
  <c r="J91" i="26"/>
  <c r="AC44" i="26"/>
  <c r="M91" i="26"/>
  <c r="Z45" i="26" l="1"/>
  <c r="J92" i="26"/>
  <c r="AB44" i="26"/>
  <c r="L91" i="26"/>
  <c r="Y44" i="26"/>
  <c r="I91" i="26"/>
  <c r="AC45" i="26"/>
  <c r="M92" i="26"/>
  <c r="W44" i="26"/>
  <c r="G91" i="26"/>
  <c r="AA44" i="26"/>
  <c r="K91" i="26"/>
  <c r="X46" i="26"/>
  <c r="H93" i="26"/>
  <c r="X47" i="26" l="1"/>
  <c r="H94" i="26"/>
  <c r="AA45" i="26"/>
  <c r="K92" i="26"/>
  <c r="AC46" i="26"/>
  <c r="M93" i="26"/>
  <c r="AB45" i="26"/>
  <c r="L92" i="26"/>
  <c r="W45" i="26"/>
  <c r="G92" i="26"/>
  <c r="Y45" i="26"/>
  <c r="I92" i="26"/>
  <c r="Z46" i="26"/>
  <c r="J93" i="26"/>
  <c r="Z47" i="26" l="1"/>
  <c r="J94" i="26"/>
  <c r="AC47" i="26"/>
  <c r="M94" i="26"/>
  <c r="X48" i="26"/>
  <c r="H95" i="26"/>
  <c r="W46" i="26"/>
  <c r="G93" i="26"/>
  <c r="Y46" i="26"/>
  <c r="I93" i="26"/>
  <c r="AB46" i="26"/>
  <c r="L93" i="26"/>
  <c r="AA46" i="26"/>
  <c r="K93" i="26"/>
  <c r="W47" i="26" l="1"/>
  <c r="G94" i="26"/>
  <c r="AC48" i="26"/>
  <c r="M95" i="26"/>
  <c r="AB47" i="26"/>
  <c r="L94" i="26"/>
  <c r="AA47" i="26"/>
  <c r="K94" i="26"/>
  <c r="Y47" i="26"/>
  <c r="I94" i="26"/>
  <c r="X49" i="26"/>
  <c r="H96" i="26"/>
  <c r="Z48" i="26"/>
  <c r="J95" i="26"/>
  <c r="AA48" i="26" l="1"/>
  <c r="K95" i="26"/>
  <c r="AC49" i="26"/>
  <c r="M96" i="26"/>
  <c r="X50" i="26"/>
  <c r="H97" i="26"/>
  <c r="Z49" i="26"/>
  <c r="J96" i="26"/>
  <c r="Y48" i="26"/>
  <c r="I95" i="26"/>
  <c r="AB48" i="26"/>
  <c r="L95" i="26"/>
  <c r="W48" i="26"/>
  <c r="G95" i="26"/>
  <c r="AB49" i="26" l="1"/>
  <c r="L96" i="26"/>
  <c r="Z50" i="26"/>
  <c r="J97" i="26"/>
  <c r="AC50" i="26"/>
  <c r="M97" i="26"/>
  <c r="W49" i="26"/>
  <c r="G96" i="26"/>
  <c r="Y49" i="26"/>
  <c r="I96" i="26"/>
  <c r="X51" i="26"/>
  <c r="H98" i="26"/>
  <c r="AA49" i="26"/>
  <c r="K96" i="26"/>
  <c r="X52" i="26" l="1"/>
  <c r="H99" i="26"/>
  <c r="W50" i="26"/>
  <c r="G97" i="26"/>
  <c r="Z51" i="26"/>
  <c r="J98" i="26"/>
  <c r="AA50" i="26"/>
  <c r="K97" i="26"/>
  <c r="Y50" i="26"/>
  <c r="I97" i="26"/>
  <c r="AC51" i="26"/>
  <c r="M98" i="26"/>
  <c r="AB50" i="26"/>
  <c r="L97" i="26"/>
  <c r="AA51" i="26" l="1"/>
  <c r="K98" i="26"/>
  <c r="W51" i="26"/>
  <c r="G98" i="26"/>
  <c r="AC52" i="26"/>
  <c r="M99" i="26"/>
  <c r="AB51" i="26"/>
  <c r="L98" i="26"/>
  <c r="Y51" i="26"/>
  <c r="I98" i="26"/>
  <c r="Z52" i="26"/>
  <c r="J99" i="26"/>
  <c r="X53" i="26"/>
  <c r="H100" i="26"/>
  <c r="Z53" i="26" l="1"/>
  <c r="J100" i="26"/>
  <c r="AB52" i="26"/>
  <c r="L99" i="26"/>
  <c r="W52" i="26"/>
  <c r="G99" i="26"/>
  <c r="X54" i="26"/>
  <c r="H101" i="26"/>
  <c r="Y52" i="26"/>
  <c r="I99" i="26"/>
  <c r="AC53" i="26"/>
  <c r="M100" i="26"/>
  <c r="AA52" i="26"/>
  <c r="K99" i="26"/>
  <c r="X55" i="26" l="1"/>
  <c r="H102" i="26"/>
  <c r="AB53" i="26"/>
  <c r="L100" i="26"/>
  <c r="AC54" i="26"/>
  <c r="M101" i="26"/>
  <c r="AA53" i="26"/>
  <c r="K100" i="26"/>
  <c r="Y53" i="26"/>
  <c r="I100" i="26"/>
  <c r="W53" i="26"/>
  <c r="G100" i="26"/>
  <c r="Z54" i="26"/>
  <c r="J101" i="26"/>
  <c r="AA54" i="26" l="1"/>
  <c r="K101" i="26"/>
  <c r="AB54" i="26"/>
  <c r="L101" i="26"/>
  <c r="W54" i="26"/>
  <c r="G101" i="26"/>
  <c r="Z55" i="26"/>
  <c r="J102" i="26"/>
  <c r="Y54" i="26"/>
  <c r="I101" i="26"/>
  <c r="AC55" i="26"/>
  <c r="M102" i="26"/>
  <c r="X56" i="26"/>
  <c r="H103" i="26"/>
  <c r="AC56" i="26" l="1"/>
  <c r="M103" i="26"/>
  <c r="Z56" i="26"/>
  <c r="J103" i="26"/>
  <c r="AB55" i="26"/>
  <c r="L102" i="26"/>
  <c r="X57" i="26"/>
  <c r="H105" i="26" s="1"/>
  <c r="H106" i="26" s="1"/>
  <c r="H107" i="26" s="1"/>
  <c r="H108" i="26" s="1"/>
  <c r="H109" i="26" s="1"/>
  <c r="H110" i="26" s="1"/>
  <c r="H111" i="26" s="1"/>
  <c r="H112" i="26" s="1"/>
  <c r="H113" i="26" s="1"/>
  <c r="H114" i="26" s="1"/>
  <c r="H115" i="26" s="1"/>
  <c r="H116" i="26" s="1"/>
  <c r="H117" i="26" s="1"/>
  <c r="H118" i="26" s="1"/>
  <c r="H119" i="26" s="1"/>
  <c r="H120" i="26" s="1"/>
  <c r="H121" i="26" s="1"/>
  <c r="H122" i="26" s="1"/>
  <c r="H123" i="26" s="1"/>
  <c r="H124" i="26" s="1"/>
  <c r="H125" i="26" s="1"/>
  <c r="H126" i="26" s="1"/>
  <c r="H127" i="26" s="1"/>
  <c r="H128" i="26" s="1"/>
  <c r="H129" i="26" s="1"/>
  <c r="H130" i="26" s="1"/>
  <c r="H131" i="26" s="1"/>
  <c r="H132" i="26" s="1"/>
  <c r="H133" i="26" s="1"/>
  <c r="H134" i="26" s="1"/>
  <c r="H135" i="26" s="1"/>
  <c r="H136" i="26" s="1"/>
  <c r="H137" i="26" s="1"/>
  <c r="H138" i="26" s="1"/>
  <c r="H139" i="26" s="1"/>
  <c r="H140" i="26" s="1"/>
  <c r="H141" i="26" s="1"/>
  <c r="H142" i="26" s="1"/>
  <c r="H143" i="26" s="1"/>
  <c r="H144" i="26" s="1"/>
  <c r="H145" i="26" s="1"/>
  <c r="H146" i="26" s="1"/>
  <c r="H147" i="26" s="1"/>
  <c r="H148" i="26" s="1"/>
  <c r="H149" i="26" s="1"/>
  <c r="H150" i="26" s="1"/>
  <c r="H151" i="26" s="1"/>
  <c r="H152" i="26" s="1"/>
  <c r="H153" i="26" s="1"/>
  <c r="H154" i="26" s="1"/>
  <c r="H155" i="26" s="1"/>
  <c r="H156" i="26" s="1"/>
  <c r="H157" i="26" s="1"/>
  <c r="H158" i="26" s="1"/>
  <c r="H159" i="26" s="1"/>
  <c r="H160" i="26" s="1"/>
  <c r="H161" i="26" s="1"/>
  <c r="H162" i="26" s="1"/>
  <c r="H163" i="26" s="1"/>
  <c r="H164" i="26" s="1"/>
  <c r="H165" i="26" s="1"/>
  <c r="H166" i="26" s="1"/>
  <c r="H167" i="26" s="1"/>
  <c r="H168" i="26" s="1"/>
  <c r="H169" i="26" s="1"/>
  <c r="H170" i="26" s="1"/>
  <c r="H171" i="26" s="1"/>
  <c r="H172" i="26" s="1"/>
  <c r="H173" i="26" s="1"/>
  <c r="H174" i="26" s="1"/>
  <c r="H175" i="26" s="1"/>
  <c r="H176" i="26" s="1"/>
  <c r="H177" i="26" s="1"/>
  <c r="H178" i="26" s="1"/>
  <c r="H179" i="26" s="1"/>
  <c r="H180" i="26" s="1"/>
  <c r="H181" i="26" s="1"/>
  <c r="H182" i="26" s="1"/>
  <c r="H183" i="26" s="1"/>
  <c r="H184" i="26" s="1"/>
  <c r="H185" i="26" s="1"/>
  <c r="H186" i="26" s="1"/>
  <c r="H187" i="26" s="1"/>
  <c r="H188" i="26" s="1"/>
  <c r="H189" i="26" s="1"/>
  <c r="H190" i="26" s="1"/>
  <c r="H191" i="26" s="1"/>
  <c r="H192" i="26" s="1"/>
  <c r="H193" i="26" s="1"/>
  <c r="H194" i="26" s="1"/>
  <c r="H195" i="26" s="1"/>
  <c r="H196" i="26" s="1"/>
  <c r="H197" i="26" s="1"/>
  <c r="H198" i="26" s="1"/>
  <c r="H199" i="26" s="1"/>
  <c r="H200" i="26" s="1"/>
  <c r="H201" i="26" s="1"/>
  <c r="H202" i="26" s="1"/>
  <c r="H203" i="26" s="1"/>
  <c r="H204" i="26" s="1"/>
  <c r="H205" i="26" s="1"/>
  <c r="H206" i="26" s="1"/>
  <c r="H207" i="26" s="1"/>
  <c r="H208" i="26" s="1"/>
  <c r="H209" i="26" s="1"/>
  <c r="H210" i="26" s="1"/>
  <c r="H211" i="26" s="1"/>
  <c r="H212" i="26" s="1"/>
  <c r="H213" i="26" s="1"/>
  <c r="H214" i="26" s="1"/>
  <c r="H215" i="26" s="1"/>
  <c r="H216" i="26" s="1"/>
  <c r="H217" i="26" s="1"/>
  <c r="H218" i="26" s="1"/>
  <c r="H219" i="26" s="1"/>
  <c r="H220" i="26" s="1"/>
  <c r="H221" i="26" s="1"/>
  <c r="H222" i="26" s="1"/>
  <c r="H223" i="26" s="1"/>
  <c r="H224" i="26" s="1"/>
  <c r="H225" i="26" s="1"/>
  <c r="H226" i="26" s="1"/>
  <c r="H227" i="26" s="1"/>
  <c r="H228" i="26" s="1"/>
  <c r="H229" i="26" s="1"/>
  <c r="H230" i="26" s="1"/>
  <c r="H231" i="26" s="1"/>
  <c r="H232" i="26" s="1"/>
  <c r="H233" i="26" s="1"/>
  <c r="H234" i="26" s="1"/>
  <c r="H235" i="26" s="1"/>
  <c r="H236" i="26" s="1"/>
  <c r="H237" i="26" s="1"/>
  <c r="H238" i="26" s="1"/>
  <c r="H239" i="26" s="1"/>
  <c r="H240" i="26" s="1"/>
  <c r="H241" i="26" s="1"/>
  <c r="H242" i="26" s="1"/>
  <c r="H243" i="26" s="1"/>
  <c r="H244" i="26" s="1"/>
  <c r="H245" i="26" s="1"/>
  <c r="H246" i="26" s="1"/>
  <c r="H247" i="26" s="1"/>
  <c r="H248" i="26" s="1"/>
  <c r="H249" i="26" s="1"/>
  <c r="H250" i="26" s="1"/>
  <c r="H251" i="26" s="1"/>
  <c r="H252" i="26" s="1"/>
  <c r="H253" i="26" s="1"/>
  <c r="H254" i="26" s="1"/>
  <c r="H255" i="26" s="1"/>
  <c r="H256" i="26" s="1"/>
  <c r="H257" i="26" s="1"/>
  <c r="H258" i="26" s="1"/>
  <c r="H259" i="26" s="1"/>
  <c r="H260" i="26" s="1"/>
  <c r="H261" i="26" s="1"/>
  <c r="H104" i="26"/>
  <c r="Y55" i="26"/>
  <c r="I102" i="26"/>
  <c r="W55" i="26"/>
  <c r="G102" i="26"/>
  <c r="AA55" i="26"/>
  <c r="K102" i="26"/>
  <c r="Z57" i="26" l="1"/>
  <c r="J105" i="26" s="1"/>
  <c r="J106" i="26" s="1"/>
  <c r="J107" i="26" s="1"/>
  <c r="J108" i="26" s="1"/>
  <c r="J109" i="26" s="1"/>
  <c r="J110" i="26" s="1"/>
  <c r="J111" i="26" s="1"/>
  <c r="J112" i="26" s="1"/>
  <c r="J113" i="26" s="1"/>
  <c r="J114" i="26" s="1"/>
  <c r="J115" i="26" s="1"/>
  <c r="J116" i="26" s="1"/>
  <c r="J117" i="26" s="1"/>
  <c r="J118" i="26" s="1"/>
  <c r="J119" i="26" s="1"/>
  <c r="J120" i="26" s="1"/>
  <c r="J121" i="26" s="1"/>
  <c r="J122" i="26" s="1"/>
  <c r="J123" i="26" s="1"/>
  <c r="J124" i="26" s="1"/>
  <c r="J125" i="26" s="1"/>
  <c r="J126" i="26" s="1"/>
  <c r="J127" i="26" s="1"/>
  <c r="J128" i="26" s="1"/>
  <c r="J129" i="26" s="1"/>
  <c r="J130" i="26" s="1"/>
  <c r="J131" i="26" s="1"/>
  <c r="J132" i="26" s="1"/>
  <c r="J133" i="26" s="1"/>
  <c r="J134" i="26" s="1"/>
  <c r="J135" i="26" s="1"/>
  <c r="J136" i="26" s="1"/>
  <c r="J137" i="26" s="1"/>
  <c r="J138" i="26" s="1"/>
  <c r="J139" i="26" s="1"/>
  <c r="J140" i="26" s="1"/>
  <c r="J141" i="26" s="1"/>
  <c r="J142" i="26" s="1"/>
  <c r="J143" i="26" s="1"/>
  <c r="J144" i="26" s="1"/>
  <c r="J145" i="26" s="1"/>
  <c r="J146" i="26" s="1"/>
  <c r="J147" i="26" s="1"/>
  <c r="J148" i="26" s="1"/>
  <c r="J149" i="26" s="1"/>
  <c r="J150" i="26" s="1"/>
  <c r="J151" i="26" s="1"/>
  <c r="J152" i="26" s="1"/>
  <c r="J153" i="26" s="1"/>
  <c r="J154" i="26" s="1"/>
  <c r="J155" i="26" s="1"/>
  <c r="J156" i="26" s="1"/>
  <c r="J157" i="26" s="1"/>
  <c r="J158" i="26" s="1"/>
  <c r="J159" i="26" s="1"/>
  <c r="J160" i="26" s="1"/>
  <c r="J161" i="26" s="1"/>
  <c r="J162" i="26" s="1"/>
  <c r="J163" i="26" s="1"/>
  <c r="J164" i="26" s="1"/>
  <c r="J165" i="26" s="1"/>
  <c r="J166" i="26" s="1"/>
  <c r="J167" i="26" s="1"/>
  <c r="J168" i="26" s="1"/>
  <c r="J169" i="26" s="1"/>
  <c r="J170" i="26" s="1"/>
  <c r="J171" i="26" s="1"/>
  <c r="J172" i="26" s="1"/>
  <c r="J173" i="26" s="1"/>
  <c r="J174" i="26" s="1"/>
  <c r="J175" i="26" s="1"/>
  <c r="J176" i="26" s="1"/>
  <c r="J177" i="26" s="1"/>
  <c r="J178" i="26" s="1"/>
  <c r="J179" i="26" s="1"/>
  <c r="J180" i="26" s="1"/>
  <c r="J181" i="26" s="1"/>
  <c r="J182" i="26" s="1"/>
  <c r="J183" i="26" s="1"/>
  <c r="J184" i="26" s="1"/>
  <c r="J185" i="26" s="1"/>
  <c r="J186" i="26" s="1"/>
  <c r="J187" i="26" s="1"/>
  <c r="J188" i="26" s="1"/>
  <c r="J189" i="26" s="1"/>
  <c r="J190" i="26" s="1"/>
  <c r="J191" i="26" s="1"/>
  <c r="J192" i="26" s="1"/>
  <c r="J193" i="26" s="1"/>
  <c r="J194" i="26" s="1"/>
  <c r="J195" i="26" s="1"/>
  <c r="J196" i="26" s="1"/>
  <c r="J197" i="26" s="1"/>
  <c r="J198" i="26" s="1"/>
  <c r="J199" i="26" s="1"/>
  <c r="J200" i="26" s="1"/>
  <c r="J201" i="26" s="1"/>
  <c r="J202" i="26" s="1"/>
  <c r="J203" i="26" s="1"/>
  <c r="J204" i="26" s="1"/>
  <c r="J205" i="26" s="1"/>
  <c r="J206" i="26" s="1"/>
  <c r="J207" i="26" s="1"/>
  <c r="J208" i="26" s="1"/>
  <c r="J209" i="26" s="1"/>
  <c r="J210" i="26" s="1"/>
  <c r="J211" i="26" s="1"/>
  <c r="J212" i="26" s="1"/>
  <c r="J213" i="26" s="1"/>
  <c r="J214" i="26" s="1"/>
  <c r="J215" i="26" s="1"/>
  <c r="J216" i="26" s="1"/>
  <c r="J217" i="26" s="1"/>
  <c r="J218" i="26" s="1"/>
  <c r="J219" i="26" s="1"/>
  <c r="J220" i="26" s="1"/>
  <c r="J221" i="26" s="1"/>
  <c r="J222" i="26" s="1"/>
  <c r="J223" i="26" s="1"/>
  <c r="J224" i="26" s="1"/>
  <c r="J225" i="26" s="1"/>
  <c r="J226" i="26" s="1"/>
  <c r="J227" i="26" s="1"/>
  <c r="J228" i="26" s="1"/>
  <c r="J229" i="26" s="1"/>
  <c r="J230" i="26" s="1"/>
  <c r="J231" i="26" s="1"/>
  <c r="J232" i="26" s="1"/>
  <c r="J233" i="26" s="1"/>
  <c r="J234" i="26" s="1"/>
  <c r="J235" i="26" s="1"/>
  <c r="J236" i="26" s="1"/>
  <c r="J237" i="26" s="1"/>
  <c r="J238" i="26" s="1"/>
  <c r="J239" i="26" s="1"/>
  <c r="J240" i="26" s="1"/>
  <c r="J241" i="26" s="1"/>
  <c r="J242" i="26" s="1"/>
  <c r="J243" i="26" s="1"/>
  <c r="J244" i="26" s="1"/>
  <c r="J245" i="26" s="1"/>
  <c r="J246" i="26" s="1"/>
  <c r="J247" i="26" s="1"/>
  <c r="J248" i="26" s="1"/>
  <c r="J249" i="26" s="1"/>
  <c r="J250" i="26" s="1"/>
  <c r="J251" i="26" s="1"/>
  <c r="J252" i="26" s="1"/>
  <c r="J253" i="26" s="1"/>
  <c r="J254" i="26" s="1"/>
  <c r="J255" i="26" s="1"/>
  <c r="J256" i="26" s="1"/>
  <c r="J257" i="26" s="1"/>
  <c r="J258" i="26" s="1"/>
  <c r="J259" i="26" s="1"/>
  <c r="J260" i="26" s="1"/>
  <c r="J261" i="26" s="1"/>
  <c r="J104" i="26"/>
  <c r="W56" i="26"/>
  <c r="G103" i="26"/>
  <c r="AA56" i="26"/>
  <c r="K103" i="26"/>
  <c r="Y56" i="26"/>
  <c r="I103" i="26"/>
  <c r="AB56" i="26"/>
  <c r="L103" i="26"/>
  <c r="AC57" i="26"/>
  <c r="M105" i="26" s="1"/>
  <c r="M106" i="26" s="1"/>
  <c r="M107" i="26" s="1"/>
  <c r="M108" i="26" s="1"/>
  <c r="M109" i="26" s="1"/>
  <c r="M110" i="26" s="1"/>
  <c r="M111" i="26" s="1"/>
  <c r="M112" i="26" s="1"/>
  <c r="M113" i="26" s="1"/>
  <c r="M114" i="26" s="1"/>
  <c r="M115" i="26" s="1"/>
  <c r="M116" i="26" s="1"/>
  <c r="M117" i="26" s="1"/>
  <c r="M118" i="26" s="1"/>
  <c r="M119" i="26" s="1"/>
  <c r="M120" i="26" s="1"/>
  <c r="M121" i="26" s="1"/>
  <c r="M122" i="26" s="1"/>
  <c r="M123" i="26" s="1"/>
  <c r="M124" i="26" s="1"/>
  <c r="M125" i="26" s="1"/>
  <c r="M126" i="26" s="1"/>
  <c r="M127" i="26" s="1"/>
  <c r="M128" i="26" s="1"/>
  <c r="M129" i="26" s="1"/>
  <c r="M130" i="26" s="1"/>
  <c r="M131" i="26" s="1"/>
  <c r="M132" i="26" s="1"/>
  <c r="M133" i="26" s="1"/>
  <c r="M134" i="26" s="1"/>
  <c r="M135" i="26" s="1"/>
  <c r="M136" i="26" s="1"/>
  <c r="M137" i="26" s="1"/>
  <c r="M138" i="26" s="1"/>
  <c r="M139" i="26" s="1"/>
  <c r="M140" i="26" s="1"/>
  <c r="M141" i="26" s="1"/>
  <c r="M142" i="26" s="1"/>
  <c r="M143" i="26" s="1"/>
  <c r="M144" i="26" s="1"/>
  <c r="M145" i="26" s="1"/>
  <c r="M146" i="26" s="1"/>
  <c r="M147" i="26" s="1"/>
  <c r="M148" i="26" s="1"/>
  <c r="M149" i="26" s="1"/>
  <c r="M150" i="26" s="1"/>
  <c r="M151" i="26" s="1"/>
  <c r="M152" i="26" s="1"/>
  <c r="M153" i="26" s="1"/>
  <c r="M154" i="26" s="1"/>
  <c r="M155" i="26" s="1"/>
  <c r="M156" i="26" s="1"/>
  <c r="M157" i="26" s="1"/>
  <c r="M158" i="26" s="1"/>
  <c r="M159" i="26" s="1"/>
  <c r="M160" i="26" s="1"/>
  <c r="M161" i="26" s="1"/>
  <c r="M162" i="26" s="1"/>
  <c r="M163" i="26" s="1"/>
  <c r="M164" i="26" s="1"/>
  <c r="M165" i="26" s="1"/>
  <c r="M166" i="26" s="1"/>
  <c r="M167" i="26" s="1"/>
  <c r="M168" i="26" s="1"/>
  <c r="M169" i="26" s="1"/>
  <c r="M170" i="26" s="1"/>
  <c r="M171" i="26" s="1"/>
  <c r="M172" i="26" s="1"/>
  <c r="M173" i="26" s="1"/>
  <c r="M174" i="26" s="1"/>
  <c r="M175" i="26" s="1"/>
  <c r="M176" i="26" s="1"/>
  <c r="M177" i="26" s="1"/>
  <c r="M178" i="26" s="1"/>
  <c r="M179" i="26" s="1"/>
  <c r="M180" i="26" s="1"/>
  <c r="M181" i="26" s="1"/>
  <c r="M182" i="26" s="1"/>
  <c r="M183" i="26" s="1"/>
  <c r="M184" i="26" s="1"/>
  <c r="M185" i="26" s="1"/>
  <c r="M186" i="26" s="1"/>
  <c r="M187" i="26" s="1"/>
  <c r="M188" i="26" s="1"/>
  <c r="M189" i="26" s="1"/>
  <c r="M190" i="26" s="1"/>
  <c r="M191" i="26" s="1"/>
  <c r="M192" i="26" s="1"/>
  <c r="M193" i="26" s="1"/>
  <c r="M194" i="26" s="1"/>
  <c r="M195" i="26" s="1"/>
  <c r="M196" i="26" s="1"/>
  <c r="M197" i="26" s="1"/>
  <c r="M198" i="26" s="1"/>
  <c r="M199" i="26" s="1"/>
  <c r="M200" i="26" s="1"/>
  <c r="M201" i="26" s="1"/>
  <c r="M202" i="26" s="1"/>
  <c r="M203" i="26" s="1"/>
  <c r="M204" i="26" s="1"/>
  <c r="M205" i="26" s="1"/>
  <c r="M206" i="26" s="1"/>
  <c r="M207" i="26" s="1"/>
  <c r="M208" i="26" s="1"/>
  <c r="M209" i="26" s="1"/>
  <c r="M210" i="26" s="1"/>
  <c r="M211" i="26" s="1"/>
  <c r="M212" i="26" s="1"/>
  <c r="M213" i="26" s="1"/>
  <c r="M214" i="26" s="1"/>
  <c r="M215" i="26" s="1"/>
  <c r="M216" i="26" s="1"/>
  <c r="M217" i="26" s="1"/>
  <c r="M218" i="26" s="1"/>
  <c r="M219" i="26" s="1"/>
  <c r="M220" i="26" s="1"/>
  <c r="M221" i="26" s="1"/>
  <c r="M222" i="26" s="1"/>
  <c r="M223" i="26" s="1"/>
  <c r="M224" i="26" s="1"/>
  <c r="M225" i="26" s="1"/>
  <c r="M226" i="26" s="1"/>
  <c r="M227" i="26" s="1"/>
  <c r="M228" i="26" s="1"/>
  <c r="M229" i="26" s="1"/>
  <c r="M230" i="26" s="1"/>
  <c r="M231" i="26" s="1"/>
  <c r="M232" i="26" s="1"/>
  <c r="M233" i="26" s="1"/>
  <c r="M234" i="26" s="1"/>
  <c r="M235" i="26" s="1"/>
  <c r="M236" i="26" s="1"/>
  <c r="M237" i="26" s="1"/>
  <c r="M238" i="26" s="1"/>
  <c r="M239" i="26" s="1"/>
  <c r="M240" i="26" s="1"/>
  <c r="M241" i="26" s="1"/>
  <c r="M242" i="26" s="1"/>
  <c r="M243" i="26" s="1"/>
  <c r="M244" i="26" s="1"/>
  <c r="M245" i="26" s="1"/>
  <c r="M246" i="26" s="1"/>
  <c r="M247" i="26" s="1"/>
  <c r="M248" i="26" s="1"/>
  <c r="M249" i="26" s="1"/>
  <c r="M250" i="26" s="1"/>
  <c r="M251" i="26" s="1"/>
  <c r="M252" i="26" s="1"/>
  <c r="M253" i="26" s="1"/>
  <c r="M254" i="26" s="1"/>
  <c r="M255" i="26" s="1"/>
  <c r="M256" i="26" s="1"/>
  <c r="M257" i="26" s="1"/>
  <c r="M258" i="26" s="1"/>
  <c r="M259" i="26" s="1"/>
  <c r="M260" i="26" s="1"/>
  <c r="M261" i="26" s="1"/>
  <c r="M104" i="26"/>
  <c r="W57" i="26" l="1"/>
  <c r="G105" i="26" s="1"/>
  <c r="G106" i="26" s="1"/>
  <c r="G107" i="26" s="1"/>
  <c r="G108" i="26" s="1"/>
  <c r="G109" i="26" s="1"/>
  <c r="G110" i="26" s="1"/>
  <c r="G111" i="26" s="1"/>
  <c r="G112" i="26" s="1"/>
  <c r="G113" i="26" s="1"/>
  <c r="G114" i="26" s="1"/>
  <c r="G115" i="26" s="1"/>
  <c r="G116" i="26" s="1"/>
  <c r="G117" i="26" s="1"/>
  <c r="G118" i="26" s="1"/>
  <c r="G119" i="26" s="1"/>
  <c r="G120" i="26" s="1"/>
  <c r="G121" i="26" s="1"/>
  <c r="G122" i="26" s="1"/>
  <c r="G123" i="26" s="1"/>
  <c r="G124" i="26" s="1"/>
  <c r="G125" i="26" s="1"/>
  <c r="G126" i="26" s="1"/>
  <c r="G127" i="26" s="1"/>
  <c r="G128" i="26" s="1"/>
  <c r="G129" i="26" s="1"/>
  <c r="G130" i="26" s="1"/>
  <c r="G131" i="26" s="1"/>
  <c r="G132" i="26" s="1"/>
  <c r="G133" i="26" s="1"/>
  <c r="G134" i="26" s="1"/>
  <c r="G135" i="26" s="1"/>
  <c r="G136" i="26" s="1"/>
  <c r="G137" i="26" s="1"/>
  <c r="G138" i="26" s="1"/>
  <c r="G139" i="26" s="1"/>
  <c r="G140" i="26" s="1"/>
  <c r="G141" i="26" s="1"/>
  <c r="G142" i="26" s="1"/>
  <c r="G143" i="26" s="1"/>
  <c r="G144" i="26" s="1"/>
  <c r="G145" i="26" s="1"/>
  <c r="G146" i="26" s="1"/>
  <c r="G147" i="26" s="1"/>
  <c r="G148" i="26" s="1"/>
  <c r="G149" i="26" s="1"/>
  <c r="G150" i="26" s="1"/>
  <c r="G151" i="26" s="1"/>
  <c r="G152" i="26" s="1"/>
  <c r="G153" i="26" s="1"/>
  <c r="G154" i="26" s="1"/>
  <c r="G155" i="26" s="1"/>
  <c r="G156" i="26" s="1"/>
  <c r="G157" i="26" s="1"/>
  <c r="G158" i="26" s="1"/>
  <c r="G159" i="26" s="1"/>
  <c r="G160" i="26" s="1"/>
  <c r="G161" i="26" s="1"/>
  <c r="G162" i="26" s="1"/>
  <c r="G163" i="26" s="1"/>
  <c r="G164" i="26" s="1"/>
  <c r="G165" i="26" s="1"/>
  <c r="G166" i="26" s="1"/>
  <c r="G167" i="26" s="1"/>
  <c r="G168" i="26" s="1"/>
  <c r="G169" i="26" s="1"/>
  <c r="G170" i="26" s="1"/>
  <c r="G171" i="26" s="1"/>
  <c r="G172" i="26" s="1"/>
  <c r="G173" i="26" s="1"/>
  <c r="G174" i="26" s="1"/>
  <c r="G175" i="26" s="1"/>
  <c r="G176" i="26" s="1"/>
  <c r="G177" i="26" s="1"/>
  <c r="G178" i="26" s="1"/>
  <c r="G179" i="26" s="1"/>
  <c r="G180" i="26" s="1"/>
  <c r="G181" i="26" s="1"/>
  <c r="G182" i="26" s="1"/>
  <c r="G183" i="26" s="1"/>
  <c r="G184" i="26" s="1"/>
  <c r="G185" i="26" s="1"/>
  <c r="G186" i="26" s="1"/>
  <c r="G187" i="26" s="1"/>
  <c r="G188" i="26" s="1"/>
  <c r="G189" i="26" s="1"/>
  <c r="G190" i="26" s="1"/>
  <c r="G191" i="26" s="1"/>
  <c r="G192" i="26" s="1"/>
  <c r="G193" i="26" s="1"/>
  <c r="G194" i="26" s="1"/>
  <c r="G195" i="26" s="1"/>
  <c r="G196" i="26" s="1"/>
  <c r="G197" i="26" s="1"/>
  <c r="G198" i="26" s="1"/>
  <c r="G199" i="26" s="1"/>
  <c r="G200" i="26" s="1"/>
  <c r="G201" i="26" s="1"/>
  <c r="G202" i="26" s="1"/>
  <c r="G203" i="26" s="1"/>
  <c r="G204" i="26" s="1"/>
  <c r="G205" i="26" s="1"/>
  <c r="G206" i="26" s="1"/>
  <c r="G207" i="26" s="1"/>
  <c r="G208" i="26" s="1"/>
  <c r="G209" i="26" s="1"/>
  <c r="G210" i="26" s="1"/>
  <c r="G211" i="26" s="1"/>
  <c r="G212" i="26" s="1"/>
  <c r="G213" i="26" s="1"/>
  <c r="G214" i="26" s="1"/>
  <c r="G215" i="26" s="1"/>
  <c r="G216" i="26" s="1"/>
  <c r="G217" i="26" s="1"/>
  <c r="G218" i="26" s="1"/>
  <c r="G219" i="26" s="1"/>
  <c r="G220" i="26" s="1"/>
  <c r="G221" i="26" s="1"/>
  <c r="G222" i="26" s="1"/>
  <c r="G223" i="26" s="1"/>
  <c r="G224" i="26" s="1"/>
  <c r="G225" i="26" s="1"/>
  <c r="G226" i="26" s="1"/>
  <c r="G227" i="26" s="1"/>
  <c r="G228" i="26" s="1"/>
  <c r="G229" i="26" s="1"/>
  <c r="G230" i="26" s="1"/>
  <c r="G231" i="26" s="1"/>
  <c r="G232" i="26" s="1"/>
  <c r="G233" i="26" s="1"/>
  <c r="G234" i="26" s="1"/>
  <c r="G235" i="26" s="1"/>
  <c r="G236" i="26" s="1"/>
  <c r="G237" i="26" s="1"/>
  <c r="G238" i="26" s="1"/>
  <c r="G239" i="26" s="1"/>
  <c r="G240" i="26" s="1"/>
  <c r="G241" i="26" s="1"/>
  <c r="G242" i="26" s="1"/>
  <c r="G243" i="26" s="1"/>
  <c r="G244" i="26" s="1"/>
  <c r="G245" i="26" s="1"/>
  <c r="G246" i="26" s="1"/>
  <c r="G247" i="26" s="1"/>
  <c r="G248" i="26" s="1"/>
  <c r="G249" i="26" s="1"/>
  <c r="G250" i="26" s="1"/>
  <c r="G251" i="26" s="1"/>
  <c r="G252" i="26" s="1"/>
  <c r="G253" i="26" s="1"/>
  <c r="G254" i="26" s="1"/>
  <c r="G255" i="26" s="1"/>
  <c r="G256" i="26" s="1"/>
  <c r="G257" i="26" s="1"/>
  <c r="G258" i="26" s="1"/>
  <c r="G259" i="26" s="1"/>
  <c r="G260" i="26" s="1"/>
  <c r="G261" i="26" s="1"/>
  <c r="G104" i="26"/>
  <c r="Y57" i="26"/>
  <c r="I105" i="26" s="1"/>
  <c r="I106" i="26" s="1"/>
  <c r="I107" i="26" s="1"/>
  <c r="I108" i="26" s="1"/>
  <c r="I109" i="26" s="1"/>
  <c r="I110" i="26" s="1"/>
  <c r="I111" i="26" s="1"/>
  <c r="I112" i="26" s="1"/>
  <c r="I113" i="26" s="1"/>
  <c r="I114" i="26" s="1"/>
  <c r="I115" i="26" s="1"/>
  <c r="I116" i="26" s="1"/>
  <c r="I117" i="26" s="1"/>
  <c r="I118" i="26" s="1"/>
  <c r="I119" i="26" s="1"/>
  <c r="I120" i="26" s="1"/>
  <c r="I121" i="26" s="1"/>
  <c r="I122" i="26" s="1"/>
  <c r="I123" i="26" s="1"/>
  <c r="I124" i="26" s="1"/>
  <c r="I125" i="26" s="1"/>
  <c r="I126" i="26" s="1"/>
  <c r="I127" i="26" s="1"/>
  <c r="I128" i="26" s="1"/>
  <c r="I129" i="26" s="1"/>
  <c r="I130" i="26" s="1"/>
  <c r="I131" i="26" s="1"/>
  <c r="I132" i="26" s="1"/>
  <c r="I133" i="26" s="1"/>
  <c r="I134" i="26" s="1"/>
  <c r="I135" i="26" s="1"/>
  <c r="I136" i="26" s="1"/>
  <c r="I137" i="26" s="1"/>
  <c r="I138" i="26" s="1"/>
  <c r="I139" i="26" s="1"/>
  <c r="I140" i="26" s="1"/>
  <c r="I141" i="26" s="1"/>
  <c r="I142" i="26" s="1"/>
  <c r="I143" i="26" s="1"/>
  <c r="I144" i="26" s="1"/>
  <c r="I145" i="26" s="1"/>
  <c r="I146" i="26" s="1"/>
  <c r="I147" i="26" s="1"/>
  <c r="I148" i="26" s="1"/>
  <c r="I149" i="26" s="1"/>
  <c r="I150" i="26" s="1"/>
  <c r="I151" i="26" s="1"/>
  <c r="I152" i="26" s="1"/>
  <c r="I153" i="26" s="1"/>
  <c r="I154" i="26" s="1"/>
  <c r="I155" i="26" s="1"/>
  <c r="I156" i="26" s="1"/>
  <c r="I157" i="26" s="1"/>
  <c r="I158" i="26" s="1"/>
  <c r="I159" i="26" s="1"/>
  <c r="I160" i="26" s="1"/>
  <c r="I161" i="26" s="1"/>
  <c r="I162" i="26" s="1"/>
  <c r="I163" i="26" s="1"/>
  <c r="I164" i="26" s="1"/>
  <c r="I165" i="26" s="1"/>
  <c r="I166" i="26" s="1"/>
  <c r="I167" i="26" s="1"/>
  <c r="I168" i="26" s="1"/>
  <c r="I169" i="26" s="1"/>
  <c r="I170" i="26" s="1"/>
  <c r="I171" i="26" s="1"/>
  <c r="I172" i="26" s="1"/>
  <c r="I173" i="26" s="1"/>
  <c r="I174" i="26" s="1"/>
  <c r="I175" i="26" s="1"/>
  <c r="I176" i="26" s="1"/>
  <c r="I177" i="26" s="1"/>
  <c r="I178" i="26" s="1"/>
  <c r="I179" i="26" s="1"/>
  <c r="I180" i="26" s="1"/>
  <c r="I181" i="26" s="1"/>
  <c r="I182" i="26" s="1"/>
  <c r="I183" i="26" s="1"/>
  <c r="I184" i="26" s="1"/>
  <c r="I185" i="26" s="1"/>
  <c r="I186" i="26" s="1"/>
  <c r="I187" i="26" s="1"/>
  <c r="I188" i="26" s="1"/>
  <c r="I189" i="26" s="1"/>
  <c r="I190" i="26" s="1"/>
  <c r="I191" i="26" s="1"/>
  <c r="I192" i="26" s="1"/>
  <c r="I193" i="26" s="1"/>
  <c r="I194" i="26" s="1"/>
  <c r="I195" i="26" s="1"/>
  <c r="I196" i="26" s="1"/>
  <c r="I197" i="26" s="1"/>
  <c r="I198" i="26" s="1"/>
  <c r="I199" i="26" s="1"/>
  <c r="I200" i="26" s="1"/>
  <c r="I201" i="26" s="1"/>
  <c r="I202" i="26" s="1"/>
  <c r="I203" i="26" s="1"/>
  <c r="I204" i="26" s="1"/>
  <c r="I205" i="26" s="1"/>
  <c r="I206" i="26" s="1"/>
  <c r="I207" i="26" s="1"/>
  <c r="I208" i="26" s="1"/>
  <c r="I209" i="26" s="1"/>
  <c r="I210" i="26" s="1"/>
  <c r="I211" i="26" s="1"/>
  <c r="I212" i="26" s="1"/>
  <c r="I213" i="26" s="1"/>
  <c r="I214" i="26" s="1"/>
  <c r="I215" i="26" s="1"/>
  <c r="I216" i="26" s="1"/>
  <c r="I217" i="26" s="1"/>
  <c r="I218" i="26" s="1"/>
  <c r="I219" i="26" s="1"/>
  <c r="I220" i="26" s="1"/>
  <c r="I221" i="26" s="1"/>
  <c r="I222" i="26" s="1"/>
  <c r="I223" i="26" s="1"/>
  <c r="I224" i="26" s="1"/>
  <c r="I225" i="26" s="1"/>
  <c r="I226" i="26" s="1"/>
  <c r="I227" i="26" s="1"/>
  <c r="I228" i="26" s="1"/>
  <c r="I229" i="26" s="1"/>
  <c r="I230" i="26" s="1"/>
  <c r="I231" i="26" s="1"/>
  <c r="I232" i="26" s="1"/>
  <c r="I233" i="26" s="1"/>
  <c r="I234" i="26" s="1"/>
  <c r="I235" i="26" s="1"/>
  <c r="I236" i="26" s="1"/>
  <c r="I237" i="26" s="1"/>
  <c r="I238" i="26" s="1"/>
  <c r="I239" i="26" s="1"/>
  <c r="I240" i="26" s="1"/>
  <c r="I241" i="26" s="1"/>
  <c r="I242" i="26" s="1"/>
  <c r="I243" i="26" s="1"/>
  <c r="I244" i="26" s="1"/>
  <c r="I245" i="26" s="1"/>
  <c r="I246" i="26" s="1"/>
  <c r="I247" i="26" s="1"/>
  <c r="I248" i="26" s="1"/>
  <c r="I249" i="26" s="1"/>
  <c r="I250" i="26" s="1"/>
  <c r="I251" i="26" s="1"/>
  <c r="I252" i="26" s="1"/>
  <c r="I253" i="26" s="1"/>
  <c r="I254" i="26" s="1"/>
  <c r="I255" i="26" s="1"/>
  <c r="I256" i="26" s="1"/>
  <c r="I257" i="26" s="1"/>
  <c r="I258" i="26" s="1"/>
  <c r="I259" i="26" s="1"/>
  <c r="I260" i="26" s="1"/>
  <c r="I261" i="26" s="1"/>
  <c r="I104" i="26"/>
  <c r="AB57" i="26"/>
  <c r="L105" i="26" s="1"/>
  <c r="L106" i="26" s="1"/>
  <c r="L107" i="26" s="1"/>
  <c r="L108" i="26" s="1"/>
  <c r="L109" i="26" s="1"/>
  <c r="L110" i="26" s="1"/>
  <c r="L111" i="26" s="1"/>
  <c r="L112" i="26" s="1"/>
  <c r="L113" i="26" s="1"/>
  <c r="L114" i="26" s="1"/>
  <c r="L115" i="26" s="1"/>
  <c r="L116" i="26" s="1"/>
  <c r="L117" i="26" s="1"/>
  <c r="L118" i="26" s="1"/>
  <c r="L119" i="26" s="1"/>
  <c r="L120" i="26" s="1"/>
  <c r="L121" i="26" s="1"/>
  <c r="L122" i="26" s="1"/>
  <c r="L123" i="26" s="1"/>
  <c r="L124" i="26" s="1"/>
  <c r="L125" i="26" s="1"/>
  <c r="L126" i="26" s="1"/>
  <c r="L127" i="26" s="1"/>
  <c r="L128" i="26" s="1"/>
  <c r="L129" i="26" s="1"/>
  <c r="L130" i="26" s="1"/>
  <c r="L131" i="26" s="1"/>
  <c r="L132" i="26" s="1"/>
  <c r="L133" i="26" s="1"/>
  <c r="L134" i="26" s="1"/>
  <c r="L135" i="26" s="1"/>
  <c r="L136" i="26" s="1"/>
  <c r="L137" i="26" s="1"/>
  <c r="L138" i="26" s="1"/>
  <c r="L139" i="26" s="1"/>
  <c r="L140" i="26" s="1"/>
  <c r="L141" i="26" s="1"/>
  <c r="L142" i="26" s="1"/>
  <c r="L143" i="26" s="1"/>
  <c r="L144" i="26" s="1"/>
  <c r="L145" i="26" s="1"/>
  <c r="L146" i="26" s="1"/>
  <c r="L147" i="26" s="1"/>
  <c r="L148" i="26" s="1"/>
  <c r="L149" i="26" s="1"/>
  <c r="L150" i="26" s="1"/>
  <c r="L151" i="26" s="1"/>
  <c r="L152" i="26" s="1"/>
  <c r="L153" i="26" s="1"/>
  <c r="L154" i="26" s="1"/>
  <c r="L155" i="26" s="1"/>
  <c r="L156" i="26" s="1"/>
  <c r="L157" i="26" s="1"/>
  <c r="L158" i="26" s="1"/>
  <c r="L159" i="26" s="1"/>
  <c r="L160" i="26" s="1"/>
  <c r="L161" i="26" s="1"/>
  <c r="L162" i="26" s="1"/>
  <c r="L163" i="26" s="1"/>
  <c r="L164" i="26" s="1"/>
  <c r="L165" i="26" s="1"/>
  <c r="L166" i="26" s="1"/>
  <c r="L167" i="26" s="1"/>
  <c r="L168" i="26" s="1"/>
  <c r="L169" i="26" s="1"/>
  <c r="L170" i="26" s="1"/>
  <c r="L171" i="26" s="1"/>
  <c r="L172" i="26" s="1"/>
  <c r="L173" i="26" s="1"/>
  <c r="L174" i="26" s="1"/>
  <c r="L175" i="26" s="1"/>
  <c r="L176" i="26" s="1"/>
  <c r="L177" i="26" s="1"/>
  <c r="L178" i="26" s="1"/>
  <c r="L179" i="26" s="1"/>
  <c r="L180" i="26" s="1"/>
  <c r="L181" i="26" s="1"/>
  <c r="L182" i="26" s="1"/>
  <c r="L183" i="26" s="1"/>
  <c r="L184" i="26" s="1"/>
  <c r="L185" i="26" s="1"/>
  <c r="L186" i="26" s="1"/>
  <c r="L187" i="26" s="1"/>
  <c r="L188" i="26" s="1"/>
  <c r="L189" i="26" s="1"/>
  <c r="L190" i="26" s="1"/>
  <c r="L191" i="26" s="1"/>
  <c r="L192" i="26" s="1"/>
  <c r="L193" i="26" s="1"/>
  <c r="L194" i="26" s="1"/>
  <c r="L195" i="26" s="1"/>
  <c r="L196" i="26" s="1"/>
  <c r="L197" i="26" s="1"/>
  <c r="L198" i="26" s="1"/>
  <c r="L199" i="26" s="1"/>
  <c r="L200" i="26" s="1"/>
  <c r="L201" i="26" s="1"/>
  <c r="L202" i="26" s="1"/>
  <c r="L203" i="26" s="1"/>
  <c r="L204" i="26" s="1"/>
  <c r="L205" i="26" s="1"/>
  <c r="L206" i="26" s="1"/>
  <c r="L207" i="26" s="1"/>
  <c r="L208" i="26" s="1"/>
  <c r="L209" i="26" s="1"/>
  <c r="L210" i="26" s="1"/>
  <c r="L211" i="26" s="1"/>
  <c r="L212" i="26" s="1"/>
  <c r="L213" i="26" s="1"/>
  <c r="L214" i="26" s="1"/>
  <c r="L215" i="26" s="1"/>
  <c r="L216" i="26" s="1"/>
  <c r="L217" i="26" s="1"/>
  <c r="L218" i="26" s="1"/>
  <c r="L219" i="26" s="1"/>
  <c r="L220" i="26" s="1"/>
  <c r="L221" i="26" s="1"/>
  <c r="L222" i="26" s="1"/>
  <c r="L223" i="26" s="1"/>
  <c r="L224" i="26" s="1"/>
  <c r="L225" i="26" s="1"/>
  <c r="L226" i="26" s="1"/>
  <c r="L227" i="26" s="1"/>
  <c r="L228" i="26" s="1"/>
  <c r="L229" i="26" s="1"/>
  <c r="L230" i="26" s="1"/>
  <c r="L231" i="26" s="1"/>
  <c r="L232" i="26" s="1"/>
  <c r="L233" i="26" s="1"/>
  <c r="L234" i="26" s="1"/>
  <c r="L235" i="26" s="1"/>
  <c r="L236" i="26" s="1"/>
  <c r="L237" i="26" s="1"/>
  <c r="L238" i="26" s="1"/>
  <c r="L239" i="26" s="1"/>
  <c r="L240" i="26" s="1"/>
  <c r="L241" i="26" s="1"/>
  <c r="L242" i="26" s="1"/>
  <c r="L243" i="26" s="1"/>
  <c r="L244" i="26" s="1"/>
  <c r="L245" i="26" s="1"/>
  <c r="L246" i="26" s="1"/>
  <c r="L247" i="26" s="1"/>
  <c r="L248" i="26" s="1"/>
  <c r="L249" i="26" s="1"/>
  <c r="L250" i="26" s="1"/>
  <c r="L251" i="26" s="1"/>
  <c r="L252" i="26" s="1"/>
  <c r="L253" i="26" s="1"/>
  <c r="L254" i="26" s="1"/>
  <c r="L255" i="26" s="1"/>
  <c r="L256" i="26" s="1"/>
  <c r="L257" i="26" s="1"/>
  <c r="L258" i="26" s="1"/>
  <c r="L259" i="26" s="1"/>
  <c r="L260" i="26" s="1"/>
  <c r="L261" i="26" s="1"/>
  <c r="L104" i="26"/>
  <c r="AA57" i="26"/>
  <c r="K105" i="26" s="1"/>
  <c r="K106" i="26" s="1"/>
  <c r="K107" i="26" s="1"/>
  <c r="K108" i="26" s="1"/>
  <c r="K109" i="26" s="1"/>
  <c r="K110" i="26" s="1"/>
  <c r="K111" i="26" s="1"/>
  <c r="K112" i="26" s="1"/>
  <c r="K113" i="26" s="1"/>
  <c r="K114" i="26" s="1"/>
  <c r="K115" i="26" s="1"/>
  <c r="K116" i="26" s="1"/>
  <c r="K117" i="26" s="1"/>
  <c r="K118" i="26" s="1"/>
  <c r="K119" i="26" s="1"/>
  <c r="K120" i="26" s="1"/>
  <c r="K121" i="26" s="1"/>
  <c r="K122" i="26" s="1"/>
  <c r="K123" i="26" s="1"/>
  <c r="K124" i="26" s="1"/>
  <c r="K125" i="26" s="1"/>
  <c r="K126" i="26" s="1"/>
  <c r="K127" i="26" s="1"/>
  <c r="K128" i="26" s="1"/>
  <c r="K129" i="26" s="1"/>
  <c r="K130" i="26" s="1"/>
  <c r="K131" i="26" s="1"/>
  <c r="K132" i="26" s="1"/>
  <c r="K133" i="26" s="1"/>
  <c r="K134" i="26" s="1"/>
  <c r="K135" i="26" s="1"/>
  <c r="K136" i="26" s="1"/>
  <c r="K137" i="26" s="1"/>
  <c r="K138" i="26" s="1"/>
  <c r="K139" i="26" s="1"/>
  <c r="K140" i="26" s="1"/>
  <c r="K141" i="26" s="1"/>
  <c r="K142" i="26" s="1"/>
  <c r="K143" i="26" s="1"/>
  <c r="K144" i="26" s="1"/>
  <c r="K145" i="26" s="1"/>
  <c r="K146" i="26" s="1"/>
  <c r="K147" i="26" s="1"/>
  <c r="K148" i="26" s="1"/>
  <c r="K149" i="26" s="1"/>
  <c r="K150" i="26" s="1"/>
  <c r="K151" i="26" s="1"/>
  <c r="K152" i="26" s="1"/>
  <c r="K153" i="26" s="1"/>
  <c r="K154" i="26" s="1"/>
  <c r="K155" i="26" s="1"/>
  <c r="K156" i="26" s="1"/>
  <c r="K157" i="26" s="1"/>
  <c r="K158" i="26" s="1"/>
  <c r="K159" i="26" s="1"/>
  <c r="K160" i="26" s="1"/>
  <c r="K161" i="26" s="1"/>
  <c r="K162" i="26" s="1"/>
  <c r="K163" i="26" s="1"/>
  <c r="K164" i="26" s="1"/>
  <c r="K165" i="26" s="1"/>
  <c r="K166" i="26" s="1"/>
  <c r="K167" i="26" s="1"/>
  <c r="K168" i="26" s="1"/>
  <c r="K169" i="26" s="1"/>
  <c r="K170" i="26" s="1"/>
  <c r="K171" i="26" s="1"/>
  <c r="K172" i="26" s="1"/>
  <c r="K173" i="26" s="1"/>
  <c r="K174" i="26" s="1"/>
  <c r="K175" i="26" s="1"/>
  <c r="K176" i="26" s="1"/>
  <c r="K177" i="26" s="1"/>
  <c r="K178" i="26" s="1"/>
  <c r="K179" i="26" s="1"/>
  <c r="K180" i="26" s="1"/>
  <c r="K181" i="26" s="1"/>
  <c r="K182" i="26" s="1"/>
  <c r="K183" i="26" s="1"/>
  <c r="K184" i="26" s="1"/>
  <c r="K185" i="26" s="1"/>
  <c r="K186" i="26" s="1"/>
  <c r="K187" i="26" s="1"/>
  <c r="K188" i="26" s="1"/>
  <c r="K189" i="26" s="1"/>
  <c r="K190" i="26" s="1"/>
  <c r="K191" i="26" s="1"/>
  <c r="K192" i="26" s="1"/>
  <c r="K193" i="26" s="1"/>
  <c r="K194" i="26" s="1"/>
  <c r="K195" i="26" s="1"/>
  <c r="K196" i="26" s="1"/>
  <c r="K197" i="26" s="1"/>
  <c r="K198" i="26" s="1"/>
  <c r="K199" i="26" s="1"/>
  <c r="K200" i="26" s="1"/>
  <c r="K201" i="26" s="1"/>
  <c r="K202" i="26" s="1"/>
  <c r="K203" i="26" s="1"/>
  <c r="K204" i="26" s="1"/>
  <c r="K205" i="26" s="1"/>
  <c r="K206" i="26" s="1"/>
  <c r="K207" i="26" s="1"/>
  <c r="K208" i="26" s="1"/>
  <c r="K209" i="26" s="1"/>
  <c r="K210" i="26" s="1"/>
  <c r="K211" i="26" s="1"/>
  <c r="K212" i="26" s="1"/>
  <c r="K213" i="26" s="1"/>
  <c r="K214" i="26" s="1"/>
  <c r="K215" i="26" s="1"/>
  <c r="K216" i="26" s="1"/>
  <c r="K217" i="26" s="1"/>
  <c r="K218" i="26" s="1"/>
  <c r="K219" i="26" s="1"/>
  <c r="K220" i="26" s="1"/>
  <c r="K221" i="26" s="1"/>
  <c r="K222" i="26" s="1"/>
  <c r="K223" i="26" s="1"/>
  <c r="K224" i="26" s="1"/>
  <c r="K225" i="26" s="1"/>
  <c r="K226" i="26" s="1"/>
  <c r="K227" i="26" s="1"/>
  <c r="K228" i="26" s="1"/>
  <c r="K229" i="26" s="1"/>
  <c r="K230" i="26" s="1"/>
  <c r="K231" i="26" s="1"/>
  <c r="K232" i="26" s="1"/>
  <c r="K233" i="26" s="1"/>
  <c r="K234" i="26" s="1"/>
  <c r="K235" i="26" s="1"/>
  <c r="K236" i="26" s="1"/>
  <c r="K237" i="26" s="1"/>
  <c r="K238" i="26" s="1"/>
  <c r="K239" i="26" s="1"/>
  <c r="K240" i="26" s="1"/>
  <c r="K241" i="26" s="1"/>
  <c r="K242" i="26" s="1"/>
  <c r="K243" i="26" s="1"/>
  <c r="K244" i="26" s="1"/>
  <c r="K245" i="26" s="1"/>
  <c r="K246" i="26" s="1"/>
  <c r="K247" i="26" s="1"/>
  <c r="K248" i="26" s="1"/>
  <c r="K249" i="26" s="1"/>
  <c r="K250" i="26" s="1"/>
  <c r="K251" i="26" s="1"/>
  <c r="K252" i="26" s="1"/>
  <c r="K253" i="26" s="1"/>
  <c r="K254" i="26" s="1"/>
  <c r="K255" i="26" s="1"/>
  <c r="K256" i="26" s="1"/>
  <c r="K257" i="26" s="1"/>
  <c r="K258" i="26" s="1"/>
  <c r="K259" i="26" s="1"/>
  <c r="K260" i="26" s="1"/>
  <c r="K261" i="26" s="1"/>
  <c r="K104" i="26"/>
</calcChain>
</file>

<file path=xl/sharedStrings.xml><?xml version="1.0" encoding="utf-8"?>
<sst xmlns="http://schemas.openxmlformats.org/spreadsheetml/2006/main" count="2123" uniqueCount="600">
  <si>
    <t>A_start</t>
  </si>
  <si>
    <t>A_end</t>
  </si>
  <si>
    <t>aging_rate</t>
  </si>
  <si>
    <t>death</t>
  </si>
  <si>
    <t>category</t>
  </si>
  <si>
    <t>cont</t>
  </si>
  <si>
    <t>State</t>
  </si>
  <si>
    <t>age_text</t>
  </si>
  <si>
    <t>population</t>
  </si>
  <si>
    <t>f1</t>
  </si>
  <si>
    <t>f2</t>
  </si>
  <si>
    <t>f3</t>
  </si>
  <si>
    <t>relative infectiousness Asymptomatic</t>
  </si>
  <si>
    <t>delta</t>
  </si>
  <si>
    <t>tau</t>
  </si>
  <si>
    <t>year</t>
  </si>
  <si>
    <t>mortality</t>
  </si>
  <si>
    <t>poi</t>
  </si>
  <si>
    <t>contact</t>
  </si>
  <si>
    <t>vaccine</t>
  </si>
  <si>
    <t>S</t>
  </si>
  <si>
    <t>age1</t>
  </si>
  <si>
    <t>age2</t>
  </si>
  <si>
    <t>age3</t>
  </si>
  <si>
    <t>age4</t>
  </si>
  <si>
    <t>age5</t>
  </si>
  <si>
    <t>age6</t>
  </si>
  <si>
    <t>age7</t>
  </si>
  <si>
    <t>age8</t>
  </si>
  <si>
    <t>age9</t>
  </si>
  <si>
    <t>epsilon</t>
  </si>
  <si>
    <t>wan</t>
  </si>
  <si>
    <t>asymptomatic</t>
  </si>
  <si>
    <t>mild</t>
  </si>
  <si>
    <t>hospitalisation</t>
  </si>
  <si>
    <t>birth</t>
  </si>
  <si>
    <t>0-9y</t>
  </si>
  <si>
    <t>10-19y</t>
  </si>
  <si>
    <t>20-29y</t>
  </si>
  <si>
    <t>30-39y</t>
  </si>
  <si>
    <t>40-49y</t>
  </si>
  <si>
    <t>50-59y</t>
  </si>
  <si>
    <t>60-69y</t>
  </si>
  <si>
    <t>70-79y</t>
  </si>
  <si>
    <t>80yr+</t>
  </si>
  <si>
    <t>% symptomatic</t>
  </si>
  <si>
    <t>% infection hospit</t>
  </si>
  <si>
    <t>IFR</t>
  </si>
  <si>
    <t>relative infectiousness mild</t>
  </si>
  <si>
    <t>relative infectiousness Severe</t>
  </si>
  <si>
    <t>Name</t>
  </si>
  <si>
    <t>Description</t>
  </si>
  <si>
    <t>value</t>
  </si>
  <si>
    <t>Threshold for outbreak (number of hospitalized)</t>
  </si>
  <si>
    <t>seas_amp</t>
  </si>
  <si>
    <t>amplitude of seasonal forcing</t>
  </si>
  <si>
    <t>seas_month</t>
  </si>
  <si>
    <t>annual_vaccination</t>
  </si>
  <si>
    <t>poiv</t>
  </si>
  <si>
    <t>poiX</t>
  </si>
  <si>
    <t>reduction of severity in case of secondary infection</t>
  </si>
  <si>
    <t>Vaccine</t>
  </si>
  <si>
    <t>thresh_end</t>
  </si>
  <si>
    <t>thresh</t>
  </si>
  <si>
    <t>thresh_low</t>
  </si>
  <si>
    <t>End of threshold-based intervention</t>
  </si>
  <si>
    <t>sdist_reduc</t>
  </si>
  <si>
    <t>sdist_relax</t>
  </si>
  <si>
    <t>thresh_Rt</t>
  </si>
  <si>
    <t>ncoh</t>
  </si>
  <si>
    <t>age group for cohort</t>
  </si>
  <si>
    <t>popcoh</t>
  </si>
  <si>
    <t>Cohort population size</t>
  </si>
  <si>
    <t>vcoh</t>
  </si>
  <si>
    <t>Vaccination status of the cohort</t>
  </si>
  <si>
    <t>mcoh</t>
  </si>
  <si>
    <t>month for vaccination of the cohort</t>
  </si>
  <si>
    <t>mdeb</t>
  </si>
  <si>
    <t>start of cohort follow-up</t>
  </si>
  <si>
    <t>stcoh</t>
  </si>
  <si>
    <t>state of the cohort</t>
  </si>
  <si>
    <t>Cohort</t>
  </si>
  <si>
    <t>cohort</t>
  </si>
  <si>
    <t>program</t>
  </si>
  <si>
    <t>npi</t>
  </si>
  <si>
    <t>Disease</t>
  </si>
  <si>
    <t>disease</t>
  </si>
  <si>
    <t>demo</t>
  </si>
  <si>
    <t>Folder</t>
  </si>
  <si>
    <t>File</t>
  </si>
  <si>
    <t>Category</t>
  </si>
  <si>
    <t>scenarios</t>
  </si>
  <si>
    <t>routine</t>
  </si>
  <si>
    <t>routine_start</t>
  </si>
  <si>
    <t>SC3</t>
  </si>
  <si>
    <t>distancing_age</t>
  </si>
  <si>
    <t>vaccine1</t>
  </si>
  <si>
    <t>vaccine2</t>
  </si>
  <si>
    <t>eff_f</t>
  </si>
  <si>
    <t>eff_ps</t>
  </si>
  <si>
    <t xml:space="preserve">Partial protection against infection and symptoms -S </t>
  </si>
  <si>
    <t>eff_pw</t>
  </si>
  <si>
    <t>Partial protection against infection and symptoms - W</t>
  </si>
  <si>
    <t>eff_rf</t>
  </si>
  <si>
    <t>Tempory full protection against infection (R)</t>
  </si>
  <si>
    <t>eff_i</t>
  </si>
  <si>
    <t xml:space="preserve">Reducted infectivitiy in case of partial protection </t>
  </si>
  <si>
    <t>Reduction of severity for infection among vaccinees</t>
  </si>
  <si>
    <t>pstart</t>
  </si>
  <si>
    <t>Delay between vaccination and start of protection</t>
  </si>
  <si>
    <t>high priority</t>
  </si>
  <si>
    <t>Vulnerable (%)</t>
  </si>
  <si>
    <t>others</t>
  </si>
  <si>
    <t>Jan-June</t>
  </si>
  <si>
    <t>coh7_nv37_m37</t>
  </si>
  <si>
    <t>SC0</t>
  </si>
  <si>
    <t>SC1</t>
  </si>
  <si>
    <t>SC2</t>
  </si>
  <si>
    <t>SC2B</t>
  </si>
  <si>
    <t>SC3B</t>
  </si>
  <si>
    <t>Jan_june</t>
  </si>
  <si>
    <t>July_dec</t>
  </si>
  <si>
    <t>Tempory full protection against infection (SW)</t>
  </si>
  <si>
    <t>calibrated</t>
  </si>
  <si>
    <t>period</t>
  </si>
  <si>
    <t>daily reduction of distancing when threshold-based NPI are started</t>
  </si>
  <si>
    <t>daily increase of distancing when threshold-based NPI are relaxed</t>
  </si>
  <si>
    <t>targeted effective reproduction number when when threshold-based NPI are activated</t>
  </si>
  <si>
    <t>lag between cases detection and deaths</t>
  </si>
  <si>
    <t>lag_death</t>
  </si>
  <si>
    <t>lag_hosp</t>
  </si>
  <si>
    <t>lag between cases detection and hosp</t>
  </si>
  <si>
    <t>lag</t>
  </si>
  <si>
    <t>scen</t>
  </si>
  <si>
    <t>Jan_dec</t>
  </si>
  <si>
    <t>End of threshhold-based distancing (months)</t>
  </si>
  <si>
    <t>thrage_start</t>
  </si>
  <si>
    <t>thrage_end</t>
  </si>
  <si>
    <t>observed</t>
  </si>
  <si>
    <t>param</t>
  </si>
  <si>
    <t>param_value</t>
  </si>
  <si>
    <t>per_ini</t>
  </si>
  <si>
    <t>per_window</t>
  </si>
  <si>
    <t>cCFRBaseline</t>
  </si>
  <si>
    <t xml:space="preserve">scale_imp </t>
  </si>
  <si>
    <t>calib_min</t>
  </si>
  <si>
    <t>scale_trans</t>
  </si>
  <si>
    <t>ctryN</t>
  </si>
  <si>
    <t>group_ini</t>
  </si>
  <si>
    <t>Average duration of latent period (days)</t>
  </si>
  <si>
    <t>Average duration of infectiousness (days)</t>
  </si>
  <si>
    <t>D01</t>
  </si>
  <si>
    <t>D02</t>
  </si>
  <si>
    <t>S01</t>
  </si>
  <si>
    <t>S02</t>
  </si>
  <si>
    <t>S03</t>
  </si>
  <si>
    <t>P01</t>
  </si>
  <si>
    <t>P02</t>
  </si>
  <si>
    <t>P03</t>
  </si>
  <si>
    <t>P04</t>
  </si>
  <si>
    <t>Median duration of temporary full protection (year)</t>
  </si>
  <si>
    <t>V04</t>
  </si>
  <si>
    <t>V05</t>
  </si>
  <si>
    <t>V06</t>
  </si>
  <si>
    <t>V01</t>
  </si>
  <si>
    <t>V02</t>
  </si>
  <si>
    <t>V03</t>
  </si>
  <si>
    <t>Most likely scenario</t>
  </si>
  <si>
    <t>Low severity in case of reinfection</t>
  </si>
  <si>
    <t>High threshold for NPI activation</t>
  </si>
  <si>
    <t xml:space="preserve">Very high threshold for NPI activation </t>
  </si>
  <si>
    <t>POD vaccine with low efficacy</t>
  </si>
  <si>
    <t>POD vaccine with high efficacy</t>
  </si>
  <si>
    <t>POI vaccine with medium efficacy</t>
  </si>
  <si>
    <t>POI vaccine with low efficacy</t>
  </si>
  <si>
    <t>POI vaccine with high efficacy</t>
  </si>
  <si>
    <t>Strong constraint on supply and uptake</t>
  </si>
  <si>
    <t>Relaxed contraints on supply</t>
  </si>
  <si>
    <t>Optimistic scenario</t>
  </si>
  <si>
    <t>POD vaccine with medium efficacy</t>
  </si>
  <si>
    <t>Weak constraint on supply and uptake</t>
  </si>
  <si>
    <t>Pessimistic scenario</t>
  </si>
  <si>
    <t>No vaccine scenario</t>
  </si>
  <si>
    <t>label</t>
  </si>
  <si>
    <t>country_id</t>
  </si>
  <si>
    <t>vaccine_id</t>
  </si>
  <si>
    <t>socialpolicy</t>
  </si>
  <si>
    <t xml:space="preserve">vaccine </t>
  </si>
  <si>
    <t>scenario_id</t>
  </si>
  <si>
    <t>calib_first</t>
  </si>
  <si>
    <t>Country</t>
  </si>
  <si>
    <t>code</t>
  </si>
  <si>
    <t>Albania</t>
  </si>
  <si>
    <t>Algeria</t>
  </si>
  <si>
    <t>Antigua and Barbuda</t>
  </si>
  <si>
    <t>Argentina</t>
  </si>
  <si>
    <t>Armenia</t>
  </si>
  <si>
    <t>Australia</t>
  </si>
  <si>
    <t>Austria</t>
  </si>
  <si>
    <t>Azerbaijan</t>
  </si>
  <si>
    <t>Bahamas</t>
  </si>
  <si>
    <t>Bahrain</t>
  </si>
  <si>
    <t>Bangladesh</t>
  </si>
  <si>
    <t>Belarus</t>
  </si>
  <si>
    <t>Belgium</t>
  </si>
  <si>
    <t>Belize</t>
  </si>
  <si>
    <t>Benin</t>
  </si>
  <si>
    <t>Bhutan</t>
  </si>
  <si>
    <t>Bosnia and Herzegovina</t>
  </si>
  <si>
    <t>Botswana</t>
  </si>
  <si>
    <t>Brazil</t>
  </si>
  <si>
    <t>Brunei Darussalam</t>
  </si>
  <si>
    <t>Bulgaria</t>
  </si>
  <si>
    <t>Burkina Faso</t>
  </si>
  <si>
    <t>Cabo Verde</t>
  </si>
  <si>
    <t>Cambodia</t>
  </si>
  <si>
    <t>Cameroon</t>
  </si>
  <si>
    <t>Canada</t>
  </si>
  <si>
    <t>Chile</t>
  </si>
  <si>
    <t>China</t>
  </si>
  <si>
    <t>Colombia</t>
  </si>
  <si>
    <t>Congo</t>
  </si>
  <si>
    <t>Costa Rica</t>
  </si>
  <si>
    <t>Croatia</t>
  </si>
  <si>
    <t>Cyprus</t>
  </si>
  <si>
    <t>Denmark</t>
  </si>
  <si>
    <t>Dominican Republic</t>
  </si>
  <si>
    <t>Ecuador</t>
  </si>
  <si>
    <t>Egypt</t>
  </si>
  <si>
    <t>El Salvador</t>
  </si>
  <si>
    <t>Estonia</t>
  </si>
  <si>
    <t>Ethiopia</t>
  </si>
  <si>
    <t>Fiji</t>
  </si>
  <si>
    <t>Finland</t>
  </si>
  <si>
    <t>France</t>
  </si>
  <si>
    <t>Georgia</t>
  </si>
  <si>
    <t>Germany</t>
  </si>
  <si>
    <t>Ghana</t>
  </si>
  <si>
    <t>Greece</t>
  </si>
  <si>
    <t>Guatemala</t>
  </si>
  <si>
    <t>Guinea</t>
  </si>
  <si>
    <t>Guyana</t>
  </si>
  <si>
    <t>Haiti</t>
  </si>
  <si>
    <t>Honduras</t>
  </si>
  <si>
    <t>Hungary</t>
  </si>
  <si>
    <t>Iceland</t>
  </si>
  <si>
    <t>India</t>
  </si>
  <si>
    <t>Indonesia</t>
  </si>
  <si>
    <t>Iran (Islamic Republic of)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</si>
  <si>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</si>
  <si>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</si>
  <si>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</si>
  <si>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</si>
  <si>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</si>
  <si>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</si>
  <si>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</si>
  <si>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</si>
  <si>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</si>
  <si>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</si>
  <si>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Kuwait</t>
  </si>
  <si>
    <t>Kyrgyzstan</t>
  </si>
  <si>
    <t>Latvia</t>
  </si>
  <si>
    <t>Lebanon</t>
  </si>
  <si>
    <t>Lesotho</t>
  </si>
  <si>
    <t>Liberia</t>
  </si>
  <si>
    <t>Lithuania</t>
  </si>
  <si>
    <t>Luxembourg</t>
  </si>
  <si>
    <t>Malaysia</t>
  </si>
  <si>
    <t>Maldives</t>
  </si>
  <si>
    <t>Malta</t>
  </si>
  <si>
    <t>Mauritania</t>
  </si>
  <si>
    <t>Mauritius</t>
  </si>
  <si>
    <t>Mexico</t>
  </si>
  <si>
    <t>Mongolia</t>
  </si>
  <si>
    <t>Montenegro</t>
  </si>
  <si>
    <t>Morocco</t>
  </si>
  <si>
    <t>Hong Kong SAR</t>
  </si>
  <si>
    <t>Mozambique</t>
  </si>
  <si>
    <t>Namibia</t>
  </si>
  <si>
    <t>Nepal</t>
  </si>
  <si>
    <t>Netherlands</t>
  </si>
  <si>
    <t>New Zealand</t>
  </si>
  <si>
    <t>Nicaragua</t>
  </si>
  <si>
    <t>Niger</t>
  </si>
  <si>
    <t>Nigeria</t>
  </si>
  <si>
    <t>Oman</t>
  </si>
  <si>
    <t>Pakistan</t>
  </si>
  <si>
    <t>Panama</t>
  </si>
  <si>
    <t>Paraguay</t>
  </si>
  <si>
    <t>Peru</t>
  </si>
  <si>
    <t>Philippines</t>
  </si>
  <si>
    <t>Poland</t>
  </si>
  <si>
    <t>Portugal</t>
  </si>
  <si>
    <t>Qatar</t>
  </si>
  <si>
    <t>Republic of Korea</t>
  </si>
  <si>
    <t>Romania</t>
  </si>
  <si>
    <t>Russian Federation</t>
  </si>
  <si>
    <t>Rwanda</t>
  </si>
  <si>
    <t>Saint Lucia</t>
  </si>
  <si>
    <t>Samoa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</si>
  <si>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</si>
  <si>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</si>
  <si>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</si>
  <si>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</si>
  <si>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</si>
  <si>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</si>
  <si>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</si>
  <si>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</si>
  <si>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</si>
  <si>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South Africa</t>
  </si>
  <si>
    <t>Spain</t>
  </si>
  <si>
    <t>Sri Lanka</t>
  </si>
  <si>
    <t>Suriname</t>
  </si>
  <si>
    <t>Sweden</t>
  </si>
  <si>
    <t>Switzerland</t>
  </si>
  <si>
    <t>Syrian Arab Republic</t>
  </si>
  <si>
    <t>Tajikistan</t>
  </si>
  <si>
    <t>Thailand</t>
  </si>
  <si>
    <t>Timor-Leste</t>
  </si>
  <si>
    <t>Tonga</t>
  </si>
  <si>
    <t>Tunisia</t>
  </si>
  <si>
    <t>Turkey</t>
  </si>
  <si>
    <t>Uganda</t>
  </si>
  <si>
    <t>Ukraine</t>
  </si>
  <si>
    <t>United Arab Emirates</t>
  </si>
  <si>
    <t>United Republic of Tanzania</t>
  </si>
  <si>
    <t>United States of America</t>
  </si>
  <si>
    <t>Uruguay</t>
  </si>
  <si>
    <t>Uzbekistan</t>
  </si>
  <si>
    <t>Vanuatu</t>
  </si>
  <si>
    <t>Viet Nam</t>
  </si>
  <si>
    <t>Yemen</t>
  </si>
  <si>
    <t>Zambia</t>
  </si>
  <si>
    <t>Zimbabwe</t>
  </si>
  <si>
    <t>0-4</t>
  </si>
  <si>
    <t>5-9</t>
  </si>
  <si>
    <t>10-14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</si>
  <si>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</si>
  <si>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</si>
  <si>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</si>
  <si>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</si>
  <si>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</si>
  <si>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</si>
  <si>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</si>
  <si>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</si>
  <si>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</si>
  <si>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</si>
  <si>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65-69</t>
  </si>
  <si>
    <t>70-74</t>
  </si>
  <si>
    <t>75-79</t>
  </si>
  <si>
    <t>80-84</t>
  </si>
  <si>
    <t>85-89</t>
  </si>
  <si>
    <t>90-94</t>
  </si>
  <si>
    <t>95-99</t>
  </si>
  <si>
    <t>100+</t>
  </si>
  <si>
    <t>Burundi</t>
  </si>
  <si>
    <t>Comoros</t>
  </si>
  <si>
    <t>Djibouti</t>
  </si>
  <si>
    <t>Eritrea</t>
  </si>
  <si>
    <t>Madagascar</t>
  </si>
  <si>
    <t>Malawi</t>
  </si>
  <si>
    <t>Mayotte</t>
  </si>
  <si>
    <t>Réunion</t>
  </si>
  <si>
    <t>Somalia</t>
  </si>
  <si>
    <t>South Sudan</t>
  </si>
  <si>
    <t>Angola</t>
  </si>
  <si>
    <t>Central African Republic</t>
  </si>
  <si>
    <t>Chad</t>
  </si>
  <si>
    <t>Democratic Republic of the Congo</t>
  </si>
  <si>
    <t>Equatorial Guinea</t>
  </si>
  <si>
    <t>Gabon</t>
  </si>
  <si>
    <t>Sao Tome and Principe</t>
  </si>
  <si>
    <t>Eswatini</t>
  </si>
  <si>
    <t>Côte d'Ivoire</t>
  </si>
  <si>
    <t>Gambia</t>
  </si>
  <si>
    <t>Guinea-Bissau</t>
  </si>
  <si>
    <t>Mali</t>
  </si>
  <si>
    <t>Togo</t>
  </si>
  <si>
    <t>Libya</t>
  </si>
  <si>
    <t>Sudan</t>
  </si>
  <si>
    <t>Western Sahara</t>
  </si>
  <si>
    <t>State of Palestine</t>
  </si>
  <si>
    <t>Turkmenistan</t>
  </si>
  <si>
    <t>Afghanistan</t>
  </si>
  <si>
    <t>Dem. People's Republic of Korea</t>
  </si>
  <si>
    <t>Lao People's Democratic Republic</t>
  </si>
  <si>
    <t>Myanmar</t>
  </si>
  <si>
    <t>Aruba</t>
  </si>
  <si>
    <t>Barbados</t>
  </si>
  <si>
    <t>Cuba</t>
  </si>
  <si>
    <t>Curaçao</t>
  </si>
  <si>
    <t>Grenada</t>
  </si>
  <si>
    <t>Guadeloupe</t>
  </si>
  <si>
    <t>Martinique</t>
  </si>
  <si>
    <t>Puerto Rico</t>
  </si>
  <si>
    <t>Saint Vincent and the Grenadines</t>
  </si>
  <si>
    <t>Trinidad and Tobago</t>
  </si>
  <si>
    <t>United States Virgin Islands</t>
  </si>
  <si>
    <t>Bolivia (Plurinational State of)</t>
  </si>
  <si>
    <t>French Guiana</t>
  </si>
  <si>
    <t>Venezuela (Bolivarian Republic of)</t>
  </si>
  <si>
    <t>New Caledonia</t>
  </si>
  <si>
    <t>Papua New Guinea</t>
  </si>
  <si>
    <t>Guam</t>
  </si>
  <si>
    <t>Micronesia (Fed. States of)</t>
  </si>
  <si>
    <t>French Polynesia</t>
  </si>
  <si>
    <t>Czechia</t>
  </si>
  <si>
    <t>Republic of Moldova</t>
  </si>
  <si>
    <t>Channel Islands</t>
  </si>
  <si>
    <t>Norway</t>
  </si>
  <si>
    <t>United Kingdom</t>
  </si>
  <si>
    <t>North Macedonia</t>
  </si>
  <si>
    <t>pop2020</t>
  </si>
  <si>
    <t>Countrycode</t>
  </si>
  <si>
    <t>Macao SAR</t>
  </si>
  <si>
    <t>Taiwan Province of China</t>
  </si>
  <si>
    <t>Start of annnual vaccination (week)</t>
  </si>
  <si>
    <t>week</t>
  </si>
  <si>
    <t>SC1_60</t>
  </si>
  <si>
    <t>SC1_65</t>
  </si>
  <si>
    <t>SC1_70</t>
  </si>
  <si>
    <t>SC1_75</t>
  </si>
  <si>
    <t>P05</t>
  </si>
  <si>
    <t>X01</t>
  </si>
  <si>
    <t>X03</t>
  </si>
  <si>
    <t>X04</t>
  </si>
  <si>
    <t>X05</t>
  </si>
  <si>
    <t>D01S01P01V01</t>
  </si>
  <si>
    <t>Base case</t>
  </si>
  <si>
    <t>All</t>
  </si>
  <si>
    <t>D01S01P02V02</t>
  </si>
  <si>
    <t>D01S01P04</t>
  </si>
  <si>
    <t>D01S01P05V01</t>
  </si>
  <si>
    <t>cov</t>
  </si>
  <si>
    <t>P01_60</t>
  </si>
  <si>
    <t>D01S01</t>
  </si>
  <si>
    <t>P01V01</t>
  </si>
  <si>
    <t>P01V02</t>
  </si>
  <si>
    <t>D01S01P01V02</t>
  </si>
  <si>
    <t>P01V03</t>
  </si>
  <si>
    <t>D01S01P01V03</t>
  </si>
  <si>
    <t>P01V04</t>
  </si>
  <si>
    <t>D01S01P01V04</t>
  </si>
  <si>
    <t>P01V05</t>
  </si>
  <si>
    <t>D01S01P01V05</t>
  </si>
  <si>
    <t>P01V06</t>
  </si>
  <si>
    <t>D01S01P01V06</t>
  </si>
  <si>
    <t>D01S02</t>
  </si>
  <si>
    <t>D01S02P01V01</t>
  </si>
  <si>
    <t>D01S02P01V04</t>
  </si>
  <si>
    <t>D01S03</t>
  </si>
  <si>
    <t>D01S03P01V01</t>
  </si>
  <si>
    <t>D01S03P01V04</t>
  </si>
  <si>
    <t>D02S01</t>
  </si>
  <si>
    <t>D02S01P01V01</t>
  </si>
  <si>
    <t>D02S01P01V02</t>
  </si>
  <si>
    <t>D02S01P01V03</t>
  </si>
  <si>
    <t>D02S01P01V04</t>
  </si>
  <si>
    <t>D02S01P01V05</t>
  </si>
  <si>
    <t>D02S01P01V06</t>
  </si>
  <si>
    <t>D02S02</t>
  </si>
  <si>
    <t>D02S02P01V01</t>
  </si>
  <si>
    <t>D02S02P01V04</t>
  </si>
  <si>
    <t>D02S03</t>
  </si>
  <si>
    <t>D02S03P01V01</t>
  </si>
  <si>
    <t>D02S03P01V04</t>
  </si>
  <si>
    <t>scenhub</t>
  </si>
  <si>
    <t>P02V01</t>
  </si>
  <si>
    <t>D01S01P02V01</t>
  </si>
  <si>
    <t>P03V01</t>
  </si>
  <si>
    <t>D01S01P03V01</t>
  </si>
  <si>
    <t>P02V02</t>
  </si>
  <si>
    <t>P03V02</t>
  </si>
  <si>
    <t>D01S01P03V02</t>
  </si>
  <si>
    <t>P02V03</t>
  </si>
  <si>
    <t>D01S01P02V03</t>
  </si>
  <si>
    <t>P03V03</t>
  </si>
  <si>
    <t>D01S01P03V03</t>
  </si>
  <si>
    <t>P02V04</t>
  </si>
  <si>
    <t>D01S01P02V04</t>
  </si>
  <si>
    <t>P03V04</t>
  </si>
  <si>
    <t>D01S01P03V04</t>
  </si>
  <si>
    <t>P02V05</t>
  </si>
  <si>
    <t>D01S01P02V05</t>
  </si>
  <si>
    <t>P03V05</t>
  </si>
  <si>
    <t>D01S01P03V05</t>
  </si>
  <si>
    <t>P02V06</t>
  </si>
  <si>
    <t>D01S01P02V06</t>
  </si>
  <si>
    <t>P03V06</t>
  </si>
  <si>
    <t>D01S01P03V06</t>
  </si>
  <si>
    <t>D02S01P02V01</t>
  </si>
  <si>
    <t>D02S01P03V01</t>
  </si>
  <si>
    <t>D02S01P02V02</t>
  </si>
  <si>
    <t>D02S01P03V02</t>
  </si>
  <si>
    <t>D02S01P02V03</t>
  </si>
  <si>
    <t>D02S01P03V03</t>
  </si>
  <si>
    <t>D02S01P02V04</t>
  </si>
  <si>
    <t>D02S01P03V04</t>
  </si>
  <si>
    <t>D02S01P02V05</t>
  </si>
  <si>
    <t>D02S01P03V05</t>
  </si>
  <si>
    <t>D02S01P02V06</t>
  </si>
  <si>
    <t>D02S01P03V06</t>
  </si>
  <si>
    <t>variant_no</t>
  </si>
  <si>
    <t>R0</t>
  </si>
  <si>
    <t>rvac_freq</t>
  </si>
  <si>
    <t>Frequency of revaccination</t>
  </si>
  <si>
    <t>D01S02P02V01</t>
  </si>
  <si>
    <t>D01S02P03V01</t>
  </si>
  <si>
    <t>D01S02P01V02</t>
  </si>
  <si>
    <t>D01S02P02V02</t>
  </si>
  <si>
    <t>D01S02P03V02</t>
  </si>
  <si>
    <t>D01S02P01V03</t>
  </si>
  <si>
    <t>D01S02P02V03</t>
  </si>
  <si>
    <t>D01S02P03V03</t>
  </si>
  <si>
    <t>D01S02P02V04</t>
  </si>
  <si>
    <t>D01S02P03V04</t>
  </si>
  <si>
    <t>D01S02P01V05</t>
  </si>
  <si>
    <t>D01S02P02V05</t>
  </si>
  <si>
    <t>D01S02P03V05</t>
  </si>
  <si>
    <t>D01S02P01V06</t>
  </si>
  <si>
    <t>D01S02P02V06</t>
  </si>
  <si>
    <t>D01S02P03V06</t>
  </si>
  <si>
    <t>D01S03P02V01</t>
  </si>
  <si>
    <t>D01S03P03V01</t>
  </si>
  <si>
    <t>D01S03P01V02</t>
  </si>
  <si>
    <t>D01S03P02V02</t>
  </si>
  <si>
    <t>D01S03P03V02</t>
  </si>
  <si>
    <t>D01S03P01V03</t>
  </si>
  <si>
    <t>D01S03P02V03</t>
  </si>
  <si>
    <t>D01S03P03V03</t>
  </si>
  <si>
    <t>D01S03P02V04</t>
  </si>
  <si>
    <t>D01S03P03V04</t>
  </si>
  <si>
    <t>D01S03P01V05</t>
  </si>
  <si>
    <t>D01S03P02V05</t>
  </si>
  <si>
    <t>D01S03P03V05</t>
  </si>
  <si>
    <t>D01S03P01V06</t>
  </si>
  <si>
    <t>D01S03P02V06</t>
  </si>
  <si>
    <t>D01S03P03V06</t>
  </si>
  <si>
    <t>D02S02P02V01</t>
  </si>
  <si>
    <t>D02S02P03V01</t>
  </si>
  <si>
    <t>D02S02P01V02</t>
  </si>
  <si>
    <t>D02S02P02V02</t>
  </si>
  <si>
    <t>D02S02P03V02</t>
  </si>
  <si>
    <t>D02S02P01V03</t>
  </si>
  <si>
    <t>D02S02P02V03</t>
  </si>
  <si>
    <t>D02S02P03V03</t>
  </si>
  <si>
    <t>D02S02P02V04</t>
  </si>
  <si>
    <t>D02S02P03V04</t>
  </si>
  <si>
    <t>D02S02P01V05</t>
  </si>
  <si>
    <t>D02S02P02V05</t>
  </si>
  <si>
    <t>D02S02P03V05</t>
  </si>
  <si>
    <t>D02S02P01V06</t>
  </si>
  <si>
    <t>D02S02P02V06</t>
  </si>
  <si>
    <t>D02S02P03V06</t>
  </si>
  <si>
    <t>D02S03P02V01</t>
  </si>
  <si>
    <t>D02S03P03V01</t>
  </si>
  <si>
    <t>D02S03P01V02</t>
  </si>
  <si>
    <t>D02S03P02V02</t>
  </si>
  <si>
    <t>D02S03P03V02</t>
  </si>
  <si>
    <t>D02S03P01V03</t>
  </si>
  <si>
    <t>D02S03P02V03</t>
  </si>
  <si>
    <t>D02S03P03V03</t>
  </si>
  <si>
    <t>D02S03P02V04</t>
  </si>
  <si>
    <t>D02S03P03V04</t>
  </si>
  <si>
    <t>D02S03P01V05</t>
  </si>
  <si>
    <t>D02S03P02V05</t>
  </si>
  <si>
    <t>D02S03P03V05</t>
  </si>
  <si>
    <t>D02S03P01V06</t>
  </si>
  <si>
    <t>D02S03P02V06</t>
  </si>
  <si>
    <t>D02S03P03V06</t>
  </si>
  <si>
    <t>P04V01</t>
  </si>
  <si>
    <t>D01S01P04V01</t>
  </si>
  <si>
    <t>D01S02P04V01</t>
  </si>
  <si>
    <t>D01S03P04V01</t>
  </si>
  <si>
    <t>D02S01P04V01</t>
  </si>
  <si>
    <t>D02S02P04V01</t>
  </si>
  <si>
    <t>D02S03P04V01</t>
  </si>
  <si>
    <t>FR_nov22</t>
  </si>
  <si>
    <t>FRsw42</t>
  </si>
  <si>
    <t>NPI</t>
  </si>
  <si>
    <t>cl</t>
  </si>
  <si>
    <t>Deaths</t>
  </si>
  <si>
    <t>UK</t>
  </si>
  <si>
    <t>Start for age-based distancing (months)</t>
  </si>
  <si>
    <t>End of age-based distancing (months)</t>
  </si>
  <si>
    <t>calibseas20</t>
  </si>
  <si>
    <t>vi_e70</t>
  </si>
  <si>
    <t xml:space="preserve">Duration of temporary full protection </t>
  </si>
  <si>
    <t>vs_e70</t>
  </si>
  <si>
    <t>wan1_seas20_sec90</t>
  </si>
  <si>
    <t>calibseas40</t>
  </si>
  <si>
    <t>Peak seasonality</t>
  </si>
  <si>
    <t>Median duration of Immunity (years)</t>
  </si>
  <si>
    <t>Reduction of severity in case of secondary infection</t>
  </si>
  <si>
    <t>Amplitude of seasonal forcing</t>
  </si>
  <si>
    <t>Relative infectiousness Asymptomatic</t>
  </si>
  <si>
    <t>Relative infectiousness mild</t>
  </si>
  <si>
    <t>Relative infectiousness Severe</t>
  </si>
  <si>
    <t>FRwan2seas20sec90sw42</t>
  </si>
  <si>
    <t>wan2_seas20_sec90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</si>
</sst>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&quot;R&quot;#,##0_);[Red]\(&quot;R&quot;#,##0\)"/>
    <numFmt numFmtId="166" formatCode="_-* #,##0_-;\-* #,##0_-;_-* &quot;-&quot;??_-;_-@_-"/>
    <numFmt numFmtId="167" formatCode="0.0%"/>
    <numFmt numFmtId="168" formatCode="0.000%"/>
    <numFmt numFmtId="169" formatCode="_(* #,##0_);_(* \(#,##0\);_(* &quot;-&quot;??_);_(@_)"/>
  </numFmts>
  <fonts count="1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rgb="FF000000"/>
      <name val="Helvetica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Lucida Console"/>
      <family val="3"/>
    </font>
    <font>
      <sz val="11"/>
      <color theme="1"/>
      <name val="Times New Roman"/>
      <family val="1"/>
    </font>
    <font>
      <sz val="8"/>
      <color rgb="FF000000"/>
      <name val="Segoe UI"/>
      <family val="2"/>
    </font>
    <font>
      <b/>
      <sz val="10"/>
      <color rgb="FF000000"/>
      <name val="Helvetica"/>
    </font>
    <font>
      <sz val="10"/>
      <color rgb="FF0000FF"/>
      <name val="Lucida Console"/>
      <family val="3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medium">
        <color rgb="FFD6DADC"/>
      </right>
      <top/>
      <bottom style="medium">
        <color rgb="FFD6DADC"/>
      </bottom>
      <diagonal/>
    </border>
  </borders>
  <cellStyleXfs count="5">
    <xf numFmtId="0" fontId="0" fillId="0" borderId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" fillId="0" borderId="0"/>
    <xf numFmtId="0" fontId="15" fillId="0" borderId="0"/>
  </cellStyleXfs>
  <cellXfs count="65">
    <xf numFmtId="0" fontId="0" fillId="0" borderId="0" xfId="0"/>
    <xf numFmtId="165" fontId="0" fillId="0" borderId="0" xfId="0" applyNumberFormat="1"/>
    <xf numFmtId="0" fontId="2" fillId="0" borderId="0" xfId="0" applyFont="1"/>
    <xf numFmtId="2" fontId="0" fillId="0" borderId="0" xfId="0" applyNumberFormat="1"/>
    <xf numFmtId="0" fontId="3" fillId="0" borderId="0" xfId="0" applyFont="1"/>
    <xf numFmtId="49" fontId="0" fillId="0" borderId="0" xfId="0" applyNumberFormat="1"/>
    <xf numFmtId="0" fontId="4" fillId="0" borderId="0" xfId="0" applyFont="1"/>
    <xf numFmtId="166" fontId="0" fillId="0" borderId="0" xfId="1" applyNumberFormat="1" applyFont="1"/>
    <xf numFmtId="0" fontId="6" fillId="0" borderId="0" xfId="0" applyFont="1"/>
    <xf numFmtId="167" fontId="0" fillId="0" borderId="0" xfId="2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center" wrapText="1"/>
    </xf>
    <xf numFmtId="165" fontId="4" fillId="0" borderId="0" xfId="0" applyNumberFormat="1" applyFont="1" applyAlignment="1">
      <alignment horizontal="center" wrapText="1"/>
    </xf>
    <xf numFmtId="0" fontId="0" fillId="0" borderId="0" xfId="0" applyAlignment="1">
      <alignment wrapText="1"/>
    </xf>
    <xf numFmtId="168" fontId="0" fillId="0" borderId="0" xfId="2" applyNumberFormat="1" applyFont="1"/>
    <xf numFmtId="0" fontId="0" fillId="0" borderId="0" xfId="0" applyFill="1"/>
    <xf numFmtId="0" fontId="0" fillId="0" borderId="0" xfId="0" applyAlignment="1">
      <alignment horizontal="center"/>
    </xf>
    <xf numFmtId="0" fontId="7" fillId="0" borderId="0" xfId="0" applyFont="1"/>
    <xf numFmtId="16" fontId="0" fillId="0" borderId="0" xfId="0" quotePrefix="1" applyNumberFormat="1"/>
    <xf numFmtId="0" fontId="0" fillId="0" borderId="0" xfId="0" quotePrefix="1"/>
    <xf numFmtId="0" fontId="8" fillId="0" borderId="0" xfId="0" applyFont="1" applyAlignment="1">
      <alignment vertical="center"/>
    </xf>
    <xf numFmtId="0" fontId="4" fillId="0" borderId="0" xfId="0" applyFont="1" applyFill="1"/>
    <xf numFmtId="0" fontId="8" fillId="2" borderId="0" xfId="0" applyFont="1" applyFill="1" applyAlignment="1">
      <alignment vertical="center"/>
    </xf>
    <xf numFmtId="0" fontId="0" fillId="0" borderId="0" xfId="0" applyNumberFormat="1"/>
    <xf numFmtId="0" fontId="8" fillId="2" borderId="0" xfId="0" applyFont="1" applyFill="1" applyAlignment="1">
      <alignment horizontal="left" vertical="center"/>
    </xf>
    <xf numFmtId="0" fontId="0" fillId="0" borderId="0" xfId="0" applyBorder="1"/>
    <xf numFmtId="0" fontId="9" fillId="0" borderId="0" xfId="0" applyFont="1" applyBorder="1" applyAlignment="1">
      <alignment horizontal="right" vertical="center"/>
    </xf>
    <xf numFmtId="3" fontId="7" fillId="0" borderId="0" xfId="0" applyNumberFormat="1" applyFont="1"/>
    <xf numFmtId="0" fontId="10" fillId="2" borderId="1" xfId="0" applyFont="1" applyFill="1" applyBorder="1" applyAlignment="1">
      <alignment vertical="center"/>
    </xf>
    <xf numFmtId="11" fontId="0" fillId="0" borderId="0" xfId="0" applyNumberFormat="1"/>
    <xf numFmtId="9" fontId="0" fillId="0" borderId="0" xfId="0" applyNumberFormat="1"/>
    <xf numFmtId="0" fontId="4" fillId="0" borderId="0" xfId="0" applyFont="1" applyAlignment="1">
      <alignment horizontal="center"/>
    </xf>
    <xf numFmtId="9" fontId="0" fillId="0" borderId="0" xfId="0" applyNumberFormat="1" applyAlignment="1">
      <alignment horizontal="center"/>
    </xf>
    <xf numFmtId="166" fontId="0" fillId="0" borderId="0" xfId="0" applyNumberFormat="1"/>
    <xf numFmtId="11" fontId="9" fillId="0" borderId="0" xfId="0" applyNumberFormat="1" applyFont="1" applyBorder="1" applyAlignment="1">
      <alignment horizontal="right" vertical="center"/>
    </xf>
    <xf numFmtId="11" fontId="0" fillId="0" borderId="0" xfId="0" applyNumberFormat="1" applyBorder="1"/>
    <xf numFmtId="10" fontId="0" fillId="0" borderId="0" xfId="0" applyNumberFormat="1"/>
    <xf numFmtId="9" fontId="0" fillId="0" borderId="0" xfId="2" applyFont="1"/>
    <xf numFmtId="0" fontId="0" fillId="0" borderId="0" xfId="0" applyFont="1"/>
    <xf numFmtId="9" fontId="3" fillId="0" borderId="0" xfId="2" applyFont="1"/>
    <xf numFmtId="0" fontId="11" fillId="0" borderId="0" xfId="0" applyFont="1"/>
    <xf numFmtId="9" fontId="4" fillId="0" borderId="0" xfId="0" applyNumberFormat="1" applyFont="1"/>
    <xf numFmtId="0" fontId="0" fillId="0" borderId="0" xfId="0" applyAlignment="1">
      <alignment horizontal="left"/>
    </xf>
    <xf numFmtId="9" fontId="0" fillId="0" borderId="0" xfId="2" applyFont="1" applyAlignment="1">
      <alignment horizontal="center"/>
    </xf>
    <xf numFmtId="0" fontId="12" fillId="2" borderId="0" xfId="0" applyFont="1" applyFill="1" applyAlignment="1">
      <alignment horizontal="left" vertical="center" wrapText="1"/>
    </xf>
    <xf numFmtId="11" fontId="0" fillId="0" borderId="0" xfId="0" applyNumberFormat="1" applyAlignment="1">
      <alignment horizontal="center"/>
    </xf>
    <xf numFmtId="167" fontId="4" fillId="0" borderId="0" xfId="2" applyNumberFormat="1" applyFont="1"/>
    <xf numFmtId="20" fontId="0" fillId="0" borderId="0" xfId="0" applyNumberFormat="1"/>
    <xf numFmtId="169" fontId="0" fillId="0" borderId="0" xfId="1" applyNumberFormat="1" applyFont="1"/>
    <xf numFmtId="11" fontId="0" fillId="0" borderId="0" xfId="1" applyNumberFormat="1" applyFont="1"/>
    <xf numFmtId="0" fontId="13" fillId="0" borderId="0" xfId="0" applyFont="1"/>
    <xf numFmtId="0" fontId="14" fillId="0" borderId="0" xfId="0" applyFont="1"/>
    <xf numFmtId="0" fontId="14" fillId="3" borderId="0" xfId="0" applyFont="1" applyFill="1"/>
    <xf numFmtId="0" fontId="4" fillId="0" borderId="0" xfId="4" applyFont="1"/>
    <xf numFmtId="0" fontId="15" fillId="0" borderId="0" xfId="4"/>
    <xf numFmtId="0" fontId="16" fillId="0" borderId="0" xfId="4" applyFont="1"/>
    <xf numFmtId="0" fontId="0" fillId="0" borderId="0" xfId="2" applyNumberFormat="1" applyFont="1"/>
    <xf numFmtId="0" fontId="4" fillId="4" borderId="0" xfId="0" applyFont="1" applyFill="1"/>
    <xf numFmtId="0" fontId="14" fillId="4" borderId="0" xfId="0" applyFont="1" applyFill="1"/>
    <xf numFmtId="0" fontId="13" fillId="4" borderId="0" xfId="0" applyFont="1" applyFill="1"/>
    <xf numFmtId="0" fontId="0" fillId="4" borderId="0" xfId="0" applyFill="1"/>
    <xf numFmtId="0" fontId="0" fillId="0" borderId="0" xfId="1" applyNumberFormat="1" applyFont="1"/>
    <xf numFmtId="0" fontId="10" fillId="0" borderId="0" xfId="0" applyNumberFormat="1" applyFont="1"/>
    <xf numFmtId="14" fontId="15" fillId="0" borderId="0" xfId="4" applyNumberFormat="1"/>
    <xf numFmtId="0" fontId="0" fillId="0" borderId="0" xfId="0" applyNumberFormat="1" applyAlignment="1">
      <alignment horizontal="center"/>
    </xf>
  </cellXfs>
  <cellStyles count="5">
    <cellStyle name="Milliers" xfId="1" builtinId="3"/>
    <cellStyle name="Normal" xfId="0" builtinId="0"/>
    <cellStyle name="Normal 2" xfId="3" xr:uid="{315727EC-EF52-405A-B5FD-DE8B5BE16318}"/>
    <cellStyle name="Normal 3" xfId="4" xr:uid="{8666AD25-3B09-418C-A094-452EB2645345}"/>
    <cellStyle name="Pourcentage" xfId="2" builtinId="5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1CC1F-7AE1-404F-97E7-7FF2F03C81A3}">
  <sheetPr codeName="Feuil17">
    <tabColor rgb="FF00B0F0"/>
  </sheetPr>
  <dimension ref="A1:N44"/>
  <sheetViews>
    <sheetView workbookViewId="0">
      <selection activeCell="C1" sqref="C1"/>
    </sheetView>
  </sheetViews>
  <sheetFormatPr baseColWidth="10" defaultColWidth="11" defaultRowHeight="15.75" x14ac:dyDescent="0.25"/>
  <cols>
    <col min="3" max="3" width="11" style="16"/>
    <col min="5" max="5" width="12.375" style="16" customWidth="1"/>
  </cols>
  <sheetData>
    <row r="1" spans="1:13" x14ac:dyDescent="0.25">
      <c r="A1" s="6" t="s">
        <v>88</v>
      </c>
      <c r="C1" s="6" t="s">
        <v>124</v>
      </c>
      <c r="D1" s="31" t="s">
        <v>52</v>
      </c>
      <c r="E1" s="31" t="s">
        <v>139</v>
      </c>
      <c r="F1" s="31" t="s">
        <v>140</v>
      </c>
      <c r="H1" s="6" t="s">
        <v>124</v>
      </c>
      <c r="I1" s="31" t="s">
        <v>52</v>
      </c>
      <c r="J1" s="31" t="s">
        <v>139</v>
      </c>
      <c r="K1" s="31" t="s">
        <v>140</v>
      </c>
    </row>
    <row r="2" spans="1:13" x14ac:dyDescent="0.25">
      <c r="A2" s="15" t="s">
        <v>234</v>
      </c>
      <c r="C2">
        <v>1</v>
      </c>
      <c r="D2" s="16">
        <v>0.117468421166572</v>
      </c>
      <c r="E2" t="s">
        <v>147</v>
      </c>
      <c r="F2" s="16" t="s">
        <v>234</v>
      </c>
      <c r="H2">
        <v>1</v>
      </c>
      <c r="I2" s="16">
        <v>0.12756785855660499</v>
      </c>
      <c r="J2" t="s">
        <v>147</v>
      </c>
      <c r="K2" s="16" t="s">
        <v>234</v>
      </c>
    </row>
    <row r="3" spans="1:13" x14ac:dyDescent="0.25">
      <c r="A3" s="6" t="s">
        <v>50</v>
      </c>
      <c r="C3">
        <v>15</v>
      </c>
      <c r="D3" s="29">
        <v>1.36017292810632E-8</v>
      </c>
      <c r="E3" t="s">
        <v>143</v>
      </c>
      <c r="F3" s="45">
        <v>0.65</v>
      </c>
      <c r="G3" s="29"/>
      <c r="H3">
        <v>15</v>
      </c>
      <c r="I3" s="29">
        <v>2.21062597776213E-8</v>
      </c>
      <c r="J3" t="s">
        <v>143</v>
      </c>
      <c r="K3" s="45">
        <v>0.65</v>
      </c>
      <c r="M3" s="29">
        <v>8.6017292810632794E-9</v>
      </c>
    </row>
    <row r="4" spans="1:13" x14ac:dyDescent="0.25">
      <c r="A4" t="s">
        <v>590</v>
      </c>
      <c r="C4">
        <v>16</v>
      </c>
      <c r="D4">
        <v>0.38599842821866498</v>
      </c>
      <c r="E4" t="s">
        <v>141</v>
      </c>
      <c r="F4" s="16">
        <v>90</v>
      </c>
      <c r="H4">
        <v>16</v>
      </c>
      <c r="I4">
        <v>0.65521875759481396</v>
      </c>
      <c r="J4" t="s">
        <v>141</v>
      </c>
      <c r="K4" s="16">
        <v>90</v>
      </c>
    </row>
    <row r="5" spans="1:13" x14ac:dyDescent="0.25">
      <c r="C5">
        <v>17</v>
      </c>
      <c r="D5">
        <v>0.75418434304478399</v>
      </c>
      <c r="E5" t="s">
        <v>142</v>
      </c>
      <c r="F5" s="16">
        <v>60</v>
      </c>
      <c r="H5">
        <v>17</v>
      </c>
      <c r="I5">
        <v>0.60173773110048001</v>
      </c>
      <c r="J5" t="s">
        <v>142</v>
      </c>
      <c r="K5" s="16">
        <v>60</v>
      </c>
    </row>
    <row r="6" spans="1:13" x14ac:dyDescent="0.25">
      <c r="B6" s="29"/>
      <c r="C6">
        <v>18</v>
      </c>
      <c r="D6">
        <v>0.56985484506991302</v>
      </c>
      <c r="E6" s="47" t="s">
        <v>146</v>
      </c>
      <c r="F6" s="16">
        <v>0.95</v>
      </c>
      <c r="H6">
        <v>18</v>
      </c>
      <c r="I6">
        <v>0.56019918625949605</v>
      </c>
      <c r="J6" s="47" t="s">
        <v>146</v>
      </c>
      <c r="K6" s="16">
        <v>0.95</v>
      </c>
    </row>
    <row r="7" spans="1:13" x14ac:dyDescent="0.25">
      <c r="C7">
        <v>19</v>
      </c>
      <c r="D7">
        <v>0.53472706553531901</v>
      </c>
      <c r="E7" t="s">
        <v>144</v>
      </c>
      <c r="F7" s="29">
        <v>2.21062597776213E-8</v>
      </c>
      <c r="H7">
        <v>19</v>
      </c>
      <c r="I7">
        <v>0.47395285759417599</v>
      </c>
      <c r="J7" t="s">
        <v>144</v>
      </c>
      <c r="K7" s="29">
        <v>2.21062597776213E-8</v>
      </c>
    </row>
    <row r="8" spans="1:13" x14ac:dyDescent="0.25">
      <c r="C8">
        <v>24</v>
      </c>
      <c r="D8">
        <v>0.26471680372280998</v>
      </c>
      <c r="E8" t="s">
        <v>189</v>
      </c>
      <c r="F8">
        <v>0.5</v>
      </c>
      <c r="H8">
        <v>24</v>
      </c>
      <c r="I8">
        <v>0.232592232996684</v>
      </c>
      <c r="J8" t="s">
        <v>189</v>
      </c>
      <c r="K8">
        <v>0.5</v>
      </c>
    </row>
    <row r="9" spans="1:13" x14ac:dyDescent="0.25">
      <c r="C9">
        <v>27</v>
      </c>
      <c r="D9">
        <v>0.44847532527688899</v>
      </c>
      <c r="E9" t="s">
        <v>145</v>
      </c>
      <c r="F9">
        <v>0.5</v>
      </c>
      <c r="H9">
        <v>27</v>
      </c>
      <c r="I9">
        <v>0.34258469975758898</v>
      </c>
      <c r="J9" t="s">
        <v>145</v>
      </c>
      <c r="K9">
        <v>0.5</v>
      </c>
    </row>
    <row r="10" spans="1:13" x14ac:dyDescent="0.25">
      <c r="C10">
        <v>30</v>
      </c>
      <c r="D10">
        <v>0.49851166655738899</v>
      </c>
      <c r="E10" t="s">
        <v>129</v>
      </c>
      <c r="F10">
        <v>7</v>
      </c>
      <c r="H10">
        <v>30</v>
      </c>
      <c r="I10">
        <v>0.379410134512213</v>
      </c>
      <c r="J10" t="s">
        <v>129</v>
      </c>
      <c r="K10">
        <v>7</v>
      </c>
    </row>
    <row r="11" spans="1:13" x14ac:dyDescent="0.25">
      <c r="C11">
        <v>35</v>
      </c>
      <c r="D11">
        <v>0.62430184434832203</v>
      </c>
      <c r="E11" t="s">
        <v>130</v>
      </c>
      <c r="F11">
        <v>0</v>
      </c>
      <c r="H11">
        <v>35</v>
      </c>
      <c r="I11">
        <v>0.428230350040816</v>
      </c>
      <c r="J11" t="s">
        <v>130</v>
      </c>
      <c r="K11">
        <v>0</v>
      </c>
    </row>
    <row r="12" spans="1:13" x14ac:dyDescent="0.25">
      <c r="C12">
        <v>40</v>
      </c>
      <c r="D12">
        <v>0.39265371975955299</v>
      </c>
      <c r="E12" t="s">
        <v>148</v>
      </c>
      <c r="F12">
        <v>19</v>
      </c>
      <c r="H12">
        <v>40</v>
      </c>
      <c r="I12">
        <v>0.30130620849318501</v>
      </c>
      <c r="J12" t="s">
        <v>148</v>
      </c>
      <c r="K12">
        <v>19</v>
      </c>
    </row>
    <row r="13" spans="1:13" x14ac:dyDescent="0.25">
      <c r="C13">
        <v>44</v>
      </c>
      <c r="D13">
        <v>0.74678012524190096</v>
      </c>
      <c r="E13" s="16">
        <v>0</v>
      </c>
      <c r="F13" s="16">
        <v>0</v>
      </c>
      <c r="H13">
        <v>48</v>
      </c>
      <c r="I13">
        <v>0.64591239693290703</v>
      </c>
      <c r="J13" s="16">
        <v>0</v>
      </c>
      <c r="K13" s="16">
        <v>0</v>
      </c>
    </row>
    <row r="14" spans="1:13" x14ac:dyDescent="0.25">
      <c r="C14">
        <v>48</v>
      </c>
      <c r="D14">
        <v>0.97829457695469402</v>
      </c>
      <c r="E14" s="16">
        <v>0</v>
      </c>
      <c r="F14" s="16">
        <v>0</v>
      </c>
      <c r="H14">
        <v>51</v>
      </c>
      <c r="I14">
        <v>0.64</v>
      </c>
      <c r="J14" s="16">
        <v>0</v>
      </c>
      <c r="K14" s="16">
        <v>0</v>
      </c>
    </row>
    <row r="15" spans="1:13" x14ac:dyDescent="0.25">
      <c r="C15">
        <v>51</v>
      </c>
      <c r="D15">
        <v>0.747709842156004</v>
      </c>
      <c r="E15" s="16">
        <v>0</v>
      </c>
      <c r="F15" s="16">
        <v>0</v>
      </c>
      <c r="H15">
        <v>54</v>
      </c>
      <c r="I15">
        <v>0.52740274263499398</v>
      </c>
      <c r="J15" s="16">
        <v>0</v>
      </c>
      <c r="K15" s="16">
        <v>0</v>
      </c>
    </row>
    <row r="16" spans="1:13" x14ac:dyDescent="0.25">
      <c r="C16">
        <v>54</v>
      </c>
      <c r="D16">
        <v>0.64</v>
      </c>
      <c r="E16" s="16">
        <v>0</v>
      </c>
      <c r="F16" s="16">
        <v>0</v>
      </c>
      <c r="H16">
        <v>57</v>
      </c>
      <c r="I16">
        <v>0.491836377703741</v>
      </c>
      <c r="J16" s="16">
        <v>0</v>
      </c>
      <c r="K16" s="16">
        <v>0</v>
      </c>
    </row>
    <row r="17" spans="3:14" x14ac:dyDescent="0.25">
      <c r="C17">
        <v>57</v>
      </c>
      <c r="D17">
        <v>0.52667371845547795</v>
      </c>
      <c r="E17" s="16">
        <v>0</v>
      </c>
      <c r="F17" s="16">
        <v>0</v>
      </c>
      <c r="H17">
        <v>62</v>
      </c>
      <c r="I17">
        <v>0.53471101760841899</v>
      </c>
      <c r="J17" s="16">
        <v>0</v>
      </c>
      <c r="K17" s="16">
        <v>0</v>
      </c>
    </row>
    <row r="18" spans="3:14" x14ac:dyDescent="0.25">
      <c r="C18">
        <v>60</v>
      </c>
      <c r="D18">
        <v>0.60172603309622597</v>
      </c>
      <c r="E18" s="16">
        <v>0</v>
      </c>
      <c r="F18" s="16">
        <v>0</v>
      </c>
      <c r="H18">
        <v>65</v>
      </c>
      <c r="I18">
        <v>0.29981811742591402</v>
      </c>
      <c r="J18" s="16">
        <v>0</v>
      </c>
      <c r="K18" s="16">
        <v>0</v>
      </c>
      <c r="M18">
        <v>60</v>
      </c>
      <c r="N18">
        <v>0.65172603309622601</v>
      </c>
    </row>
    <row r="19" spans="3:14" x14ac:dyDescent="0.25">
      <c r="C19">
        <v>62</v>
      </c>
      <c r="D19">
        <v>0.541123251885958</v>
      </c>
      <c r="E19" s="16">
        <v>0</v>
      </c>
      <c r="F19" s="16">
        <v>0</v>
      </c>
      <c r="J19" s="16"/>
      <c r="K19" s="16"/>
      <c r="M19">
        <v>62</v>
      </c>
      <c r="N19">
        <v>0.411123251885958</v>
      </c>
    </row>
    <row r="20" spans="3:14" x14ac:dyDescent="0.25">
      <c r="C20">
        <v>65</v>
      </c>
      <c r="D20">
        <v>0.30967641911550198</v>
      </c>
      <c r="E20" s="16">
        <v>0</v>
      </c>
      <c r="F20" s="16">
        <v>0</v>
      </c>
      <c r="J20" s="16"/>
      <c r="K20" s="16"/>
      <c r="M20">
        <v>65</v>
      </c>
      <c r="N20">
        <v>0.34967641911550201</v>
      </c>
    </row>
    <row r="38" spans="8:8" x14ac:dyDescent="0.25">
      <c r="H38">
        <f>3*6</f>
        <v>18</v>
      </c>
    </row>
    <row r="44" spans="8:8" x14ac:dyDescent="0.25">
      <c r="H44">
        <f>+G44-G22</f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A406D-431D-45B5-9CF5-6FC5C7457EE3}">
  <sheetPr codeName="Feuil19">
    <tabColor rgb="FFFFFF00"/>
  </sheetPr>
  <dimension ref="A1:F18"/>
  <sheetViews>
    <sheetView workbookViewId="0">
      <selection activeCell="D2" sqref="D2"/>
    </sheetView>
  </sheetViews>
  <sheetFormatPr baseColWidth="10" defaultColWidth="11" defaultRowHeight="15.75" x14ac:dyDescent="0.25"/>
  <cols>
    <col min="1" max="1" width="16.625" customWidth="1"/>
  </cols>
  <sheetData>
    <row r="1" spans="1:6" x14ac:dyDescent="0.25">
      <c r="A1" s="6" t="s">
        <v>88</v>
      </c>
      <c r="C1" s="6" t="s">
        <v>124</v>
      </c>
      <c r="D1" s="6" t="s">
        <v>52</v>
      </c>
      <c r="F1" s="6"/>
    </row>
    <row r="2" spans="1:6" s="15" customFormat="1" x14ac:dyDescent="0.25">
      <c r="A2" s="15" t="s">
        <v>234</v>
      </c>
      <c r="C2">
        <v>1</v>
      </c>
      <c r="D2" s="16">
        <v>0.12756785855660499</v>
      </c>
      <c r="E2">
        <v>1</v>
      </c>
      <c r="F2">
        <v>0.12756785855660499</v>
      </c>
    </row>
    <row r="3" spans="1:6" x14ac:dyDescent="0.25">
      <c r="A3" s="6" t="s">
        <v>50</v>
      </c>
      <c r="C3">
        <v>15</v>
      </c>
      <c r="D3" s="45">
        <v>1.9106259777621299E-8</v>
      </c>
      <c r="E3">
        <v>15</v>
      </c>
      <c r="F3" s="29">
        <v>1.9106259777621299E-8</v>
      </c>
    </row>
    <row r="4" spans="1:6" x14ac:dyDescent="0.25">
      <c r="A4" t="s">
        <v>585</v>
      </c>
      <c r="C4">
        <v>16</v>
      </c>
      <c r="D4" s="16">
        <v>0.65521875759481396</v>
      </c>
      <c r="E4">
        <v>16</v>
      </c>
      <c r="F4">
        <v>0.65521875759481396</v>
      </c>
    </row>
    <row r="5" spans="1:6" x14ac:dyDescent="0.25">
      <c r="C5">
        <v>17</v>
      </c>
      <c r="D5" s="16">
        <v>0.60173773110048001</v>
      </c>
      <c r="E5">
        <v>17</v>
      </c>
      <c r="F5">
        <v>0.60173773110048001</v>
      </c>
    </row>
    <row r="6" spans="1:6" x14ac:dyDescent="0.25">
      <c r="C6">
        <v>18</v>
      </c>
      <c r="D6" s="16">
        <v>0.56019918625949605</v>
      </c>
      <c r="E6">
        <v>18</v>
      </c>
      <c r="F6">
        <v>0.56019918625949605</v>
      </c>
    </row>
    <row r="7" spans="1:6" x14ac:dyDescent="0.25">
      <c r="C7">
        <v>19</v>
      </c>
      <c r="D7" s="16">
        <v>0.47395285759417599</v>
      </c>
      <c r="E7">
        <v>19</v>
      </c>
      <c r="F7">
        <v>0.47395285759417599</v>
      </c>
    </row>
    <row r="8" spans="1:6" x14ac:dyDescent="0.25">
      <c r="C8">
        <v>24</v>
      </c>
      <c r="D8" s="16">
        <v>0.232592232996684</v>
      </c>
      <c r="E8">
        <v>24</v>
      </c>
      <c r="F8">
        <v>0.232592232996684</v>
      </c>
    </row>
    <row r="9" spans="1:6" x14ac:dyDescent="0.25">
      <c r="C9">
        <v>27</v>
      </c>
      <c r="D9" s="16">
        <v>0.34258469975758898</v>
      </c>
      <c r="E9">
        <v>27</v>
      </c>
      <c r="F9">
        <v>0.34258469975758898</v>
      </c>
    </row>
    <row r="10" spans="1:6" x14ac:dyDescent="0.25">
      <c r="C10">
        <v>30</v>
      </c>
      <c r="D10" s="16">
        <v>0.379410134512213</v>
      </c>
      <c r="E10">
        <v>30</v>
      </c>
      <c r="F10">
        <v>0.379410134512213</v>
      </c>
    </row>
    <row r="11" spans="1:6" x14ac:dyDescent="0.25">
      <c r="C11">
        <v>35</v>
      </c>
      <c r="D11">
        <v>0.428230350040816</v>
      </c>
      <c r="E11">
        <v>35</v>
      </c>
      <c r="F11">
        <v>0.428230350040816</v>
      </c>
    </row>
    <row r="12" spans="1:6" x14ac:dyDescent="0.25">
      <c r="C12">
        <v>40</v>
      </c>
      <c r="D12">
        <v>0.30130620849318501</v>
      </c>
      <c r="E12">
        <v>40</v>
      </c>
      <c r="F12">
        <v>0.30130620849318501</v>
      </c>
    </row>
    <row r="13" spans="1:6" x14ac:dyDescent="0.25">
      <c r="C13">
        <v>48</v>
      </c>
      <c r="D13">
        <v>0.64591239693290703</v>
      </c>
      <c r="E13">
        <v>48</v>
      </c>
      <c r="F13">
        <v>0.64591239693290703</v>
      </c>
    </row>
    <row r="14" spans="1:6" x14ac:dyDescent="0.25">
      <c r="C14">
        <v>51</v>
      </c>
      <c r="D14">
        <v>0.64</v>
      </c>
      <c r="E14">
        <v>51</v>
      </c>
      <c r="F14">
        <v>0.64</v>
      </c>
    </row>
    <row r="15" spans="1:6" x14ac:dyDescent="0.25">
      <c r="C15">
        <v>54</v>
      </c>
      <c r="D15">
        <v>0.52740274263499398</v>
      </c>
      <c r="E15">
        <v>54</v>
      </c>
      <c r="F15">
        <v>0.52740274263499398</v>
      </c>
    </row>
    <row r="16" spans="1:6" x14ac:dyDescent="0.25">
      <c r="C16">
        <v>57</v>
      </c>
      <c r="D16">
        <v>0.491836377703741</v>
      </c>
      <c r="E16">
        <v>57</v>
      </c>
      <c r="F16">
        <v>0.491836377703741</v>
      </c>
    </row>
    <row r="17" spans="3:6" x14ac:dyDescent="0.25">
      <c r="C17">
        <v>62</v>
      </c>
      <c r="D17">
        <v>0.55471101760841901</v>
      </c>
      <c r="E17">
        <v>62</v>
      </c>
      <c r="F17">
        <v>0.55471101760841901</v>
      </c>
    </row>
    <row r="18" spans="3:6" x14ac:dyDescent="0.25">
      <c r="C18">
        <v>65</v>
      </c>
      <c r="D18">
        <v>0.29981811742591402</v>
      </c>
      <c r="E18">
        <v>65</v>
      </c>
      <c r="F18">
        <v>0.29981811742591402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93A69-E831-4262-BC90-AB09701F3F9F}">
  <sheetPr codeName="Feuil22">
    <tabColor rgb="FFFFFF00"/>
  </sheetPr>
  <dimension ref="A1:F10"/>
  <sheetViews>
    <sheetView workbookViewId="0">
      <selection activeCell="C2" sqref="C2"/>
    </sheetView>
  </sheetViews>
  <sheetFormatPr baseColWidth="10" defaultColWidth="11" defaultRowHeight="15.75" x14ac:dyDescent="0.25"/>
  <cols>
    <col min="1" max="1" width="16.625" customWidth="1"/>
    <col min="4" max="4" width="21" customWidth="1"/>
  </cols>
  <sheetData>
    <row r="1" spans="1:6" x14ac:dyDescent="0.25">
      <c r="A1" s="6" t="s">
        <v>88</v>
      </c>
      <c r="C1" s="6" t="s">
        <v>50</v>
      </c>
      <c r="D1" s="6" t="s">
        <v>51</v>
      </c>
      <c r="E1" s="6" t="s">
        <v>52</v>
      </c>
      <c r="F1" s="6"/>
    </row>
    <row r="2" spans="1:6" s="15" customFormat="1" x14ac:dyDescent="0.25">
      <c r="A2" s="15" t="s">
        <v>234</v>
      </c>
      <c r="C2" t="s">
        <v>129</v>
      </c>
      <c r="D2" s="42" t="s">
        <v>128</v>
      </c>
      <c r="E2" s="15">
        <v>8</v>
      </c>
    </row>
    <row r="3" spans="1:6" x14ac:dyDescent="0.25">
      <c r="A3" s="6" t="s">
        <v>50</v>
      </c>
      <c r="C3" t="s">
        <v>130</v>
      </c>
      <c r="D3" s="42" t="s">
        <v>131</v>
      </c>
      <c r="E3">
        <v>0</v>
      </c>
    </row>
    <row r="4" spans="1:6" x14ac:dyDescent="0.25">
      <c r="A4" t="s">
        <v>132</v>
      </c>
      <c r="D4" s="16"/>
    </row>
    <row r="5" spans="1:6" x14ac:dyDescent="0.25">
      <c r="D5" s="16"/>
    </row>
    <row r="6" spans="1:6" x14ac:dyDescent="0.25">
      <c r="D6" s="16"/>
    </row>
    <row r="7" spans="1:6" x14ac:dyDescent="0.25">
      <c r="D7" s="16"/>
    </row>
    <row r="8" spans="1:6" x14ac:dyDescent="0.25">
      <c r="D8" s="16"/>
    </row>
    <row r="9" spans="1:6" x14ac:dyDescent="0.25">
      <c r="D9" s="16"/>
    </row>
    <row r="10" spans="1:6" x14ac:dyDescent="0.25">
      <c r="D10" s="16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92D050"/>
  </sheetPr>
  <dimension ref="A1:O14"/>
  <sheetViews>
    <sheetView workbookViewId="0">
      <selection activeCell="C1" sqref="C1"/>
    </sheetView>
  </sheetViews>
  <sheetFormatPr baseColWidth="10" defaultColWidth="11" defaultRowHeight="15.75" x14ac:dyDescent="0.25"/>
  <cols>
    <col min="5" max="6" width="11.25" bestFit="1" customWidth="1"/>
    <col min="7" max="7" width="12.125" bestFit="1" customWidth="1"/>
    <col min="8" max="8" width="13.875" bestFit="1" customWidth="1"/>
    <col min="9" max="9" width="12.375" bestFit="1" customWidth="1"/>
    <col min="10" max="10" width="12.875" bestFit="1" customWidth="1"/>
    <col min="11" max="12" width="12.125" bestFit="1" customWidth="1"/>
    <col min="13" max="13" width="13.625" bestFit="1" customWidth="1"/>
  </cols>
  <sheetData>
    <row r="1" spans="1:15" x14ac:dyDescent="0.25">
      <c r="A1" s="6" t="s">
        <v>88</v>
      </c>
      <c r="C1" t="s">
        <v>4</v>
      </c>
      <c r="D1" t="s">
        <v>7</v>
      </c>
      <c r="E1" t="s">
        <v>0</v>
      </c>
      <c r="F1" t="s">
        <v>1</v>
      </c>
      <c r="G1" t="s">
        <v>2</v>
      </c>
      <c r="H1" t="s">
        <v>8</v>
      </c>
      <c r="I1" t="s">
        <v>580</v>
      </c>
      <c r="J1" t="s">
        <v>581</v>
      </c>
    </row>
    <row r="2" spans="1:15" x14ac:dyDescent="0.25">
      <c r="A2" s="15" t="s">
        <v>234</v>
      </c>
      <c r="C2">
        <v>1</v>
      </c>
      <c r="D2" t="s">
        <v>36</v>
      </c>
      <c r="E2">
        <v>0</v>
      </c>
      <c r="F2">
        <v>10</v>
      </c>
      <c r="G2">
        <v>0.1</v>
      </c>
      <c r="H2" s="2">
        <v>7527000</v>
      </c>
      <c r="I2" s="2">
        <v>10</v>
      </c>
      <c r="J2">
        <v>2454.77891206614</v>
      </c>
      <c r="K2" s="49"/>
    </row>
    <row r="3" spans="1:15" x14ac:dyDescent="0.25">
      <c r="A3" s="6" t="s">
        <v>50</v>
      </c>
      <c r="C3">
        <v>2</v>
      </c>
      <c r="D3" t="s">
        <v>37</v>
      </c>
      <c r="E3">
        <v>10</v>
      </c>
      <c r="F3">
        <v>20</v>
      </c>
      <c r="G3">
        <v>0.1</v>
      </c>
      <c r="H3" s="2">
        <v>7884000</v>
      </c>
      <c r="I3" s="17">
        <v>10</v>
      </c>
      <c r="J3">
        <v>993.53104127981999</v>
      </c>
      <c r="K3" s="49"/>
    </row>
    <row r="4" spans="1:15" x14ac:dyDescent="0.25">
      <c r="A4" t="s">
        <v>87</v>
      </c>
      <c r="C4">
        <v>3</v>
      </c>
      <c r="D4" t="s">
        <v>38</v>
      </c>
      <c r="E4">
        <v>20</v>
      </c>
      <c r="F4">
        <v>30</v>
      </c>
      <c r="G4">
        <v>0.1</v>
      </c>
      <c r="H4" s="2">
        <v>7371000</v>
      </c>
      <c r="I4" s="2">
        <v>10</v>
      </c>
      <c r="J4">
        <v>2979.6532113030098</v>
      </c>
      <c r="K4" s="49"/>
    </row>
    <row r="5" spans="1:15" x14ac:dyDescent="0.25">
      <c r="C5">
        <v>4</v>
      </c>
      <c r="D5" t="s">
        <v>39</v>
      </c>
      <c r="E5">
        <v>30</v>
      </c>
      <c r="F5">
        <v>40</v>
      </c>
      <c r="G5">
        <v>0.1</v>
      </c>
      <c r="H5" s="2">
        <v>8012000</v>
      </c>
      <c r="I5" s="2">
        <v>10</v>
      </c>
      <c r="J5">
        <v>5272.0974336422896</v>
      </c>
      <c r="K5" s="49"/>
    </row>
    <row r="6" spans="1:15" x14ac:dyDescent="0.25">
      <c r="C6">
        <v>5</v>
      </c>
      <c r="D6" t="s">
        <v>40</v>
      </c>
      <c r="E6">
        <v>40</v>
      </c>
      <c r="F6">
        <v>50</v>
      </c>
      <c r="G6">
        <v>0.1</v>
      </c>
      <c r="H6" s="2">
        <v>8325000</v>
      </c>
      <c r="I6" s="2">
        <v>10</v>
      </c>
      <c r="J6">
        <v>14871.888171434801</v>
      </c>
      <c r="K6" s="49"/>
    </row>
    <row r="7" spans="1:15" x14ac:dyDescent="0.25">
      <c r="C7">
        <v>6</v>
      </c>
      <c r="D7" t="s">
        <v>41</v>
      </c>
      <c r="E7">
        <v>50</v>
      </c>
      <c r="F7">
        <v>60</v>
      </c>
      <c r="G7">
        <v>0.1</v>
      </c>
      <c r="H7" s="2">
        <v>8635000</v>
      </c>
      <c r="I7" s="2">
        <v>10</v>
      </c>
      <c r="J7">
        <v>38398.494236691302</v>
      </c>
      <c r="K7" s="49"/>
      <c r="L7" s="2"/>
      <c r="M7" s="2"/>
    </row>
    <row r="8" spans="1:15" x14ac:dyDescent="0.25">
      <c r="C8">
        <v>7</v>
      </c>
      <c r="D8" t="s">
        <v>42</v>
      </c>
      <c r="E8">
        <v>60</v>
      </c>
      <c r="F8">
        <v>70</v>
      </c>
      <c r="G8">
        <v>0.1</v>
      </c>
      <c r="H8" s="2">
        <v>7765000</v>
      </c>
      <c r="I8" s="2">
        <v>10</v>
      </c>
      <c r="J8">
        <v>63579.150616390099</v>
      </c>
      <c r="K8" s="49"/>
    </row>
    <row r="9" spans="1:15" x14ac:dyDescent="0.25">
      <c r="C9">
        <v>8</v>
      </c>
      <c r="D9" t="s">
        <v>43</v>
      </c>
      <c r="E9">
        <v>70</v>
      </c>
      <c r="F9">
        <v>80</v>
      </c>
      <c r="G9">
        <v>0.1</v>
      </c>
      <c r="H9" s="2">
        <v>5728000</v>
      </c>
      <c r="I9" s="2">
        <v>10</v>
      </c>
      <c r="J9">
        <v>103258.502930801</v>
      </c>
      <c r="K9" s="49"/>
    </row>
    <row r="10" spans="1:15" x14ac:dyDescent="0.25">
      <c r="C10">
        <v>9</v>
      </c>
      <c r="D10" t="s">
        <v>44</v>
      </c>
      <c r="E10">
        <v>80</v>
      </c>
      <c r="F10">
        <v>100</v>
      </c>
      <c r="G10">
        <v>0.05</v>
      </c>
      <c r="H10" s="2">
        <v>4027000</v>
      </c>
      <c r="I10" s="2">
        <v>10</v>
      </c>
      <c r="J10">
        <v>359343.64493866701</v>
      </c>
      <c r="K10" s="49"/>
    </row>
    <row r="12" spans="1:15" x14ac:dyDescent="0.25">
      <c r="H12" s="33"/>
    </row>
    <row r="13" spans="1:15" ht="16.5" thickBot="1" x14ac:dyDescent="0.3">
      <c r="E13" s="28"/>
      <c r="F13" s="28"/>
      <c r="G13" s="28"/>
      <c r="H13" s="28">
        <f>+SUM(H8:H10)/SUM(H2:H10)</f>
        <v>0.26840702270429267</v>
      </c>
      <c r="I13" s="28">
        <f>0.6*H13</f>
        <v>0.16104421362257559</v>
      </c>
      <c r="J13" s="28"/>
      <c r="K13" s="28"/>
      <c r="L13" s="28"/>
      <c r="M13" s="28"/>
      <c r="N13" s="27"/>
      <c r="O13" s="27"/>
    </row>
    <row r="14" spans="1:15" x14ac:dyDescent="0.25">
      <c r="E14" s="7"/>
      <c r="F14" s="7"/>
      <c r="G14" s="7"/>
      <c r="H14" s="7"/>
      <c r="I14" s="7"/>
      <c r="J14" s="7"/>
      <c r="K14" s="7"/>
      <c r="L14" s="7"/>
      <c r="M14" s="7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tabColor rgb="FF92D050"/>
  </sheetPr>
  <dimension ref="A1:AK20"/>
  <sheetViews>
    <sheetView workbookViewId="0">
      <selection activeCell="E2" sqref="E2:I10"/>
    </sheetView>
  </sheetViews>
  <sheetFormatPr baseColWidth="10" defaultColWidth="11" defaultRowHeight="15.75" x14ac:dyDescent="0.25"/>
  <sheetData>
    <row r="1" spans="1:37" x14ac:dyDescent="0.25">
      <c r="A1" s="6" t="s">
        <v>88</v>
      </c>
      <c r="C1" s="8" t="s">
        <v>4</v>
      </c>
      <c r="D1" s="8" t="s">
        <v>7</v>
      </c>
      <c r="E1" s="8">
        <v>2020</v>
      </c>
      <c r="F1" s="8">
        <v>2021</v>
      </c>
      <c r="G1" s="8">
        <v>2022</v>
      </c>
      <c r="H1" s="8">
        <v>2023</v>
      </c>
      <c r="I1" s="8">
        <v>2024</v>
      </c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x14ac:dyDescent="0.25">
      <c r="A2" s="15" t="s">
        <v>234</v>
      </c>
      <c r="C2" s="2">
        <v>1</v>
      </c>
      <c r="D2" t="s">
        <v>36</v>
      </c>
      <c r="E2" s="23">
        <v>3.2618297959091202E-4</v>
      </c>
      <c r="F2" s="23">
        <v>3.2618297959091202E-4</v>
      </c>
      <c r="G2" s="23">
        <v>3.2618297959091202E-4</v>
      </c>
      <c r="H2" s="23">
        <v>3.2618297959091202E-4</v>
      </c>
      <c r="I2" s="23">
        <v>3.2618297959091202E-4</v>
      </c>
      <c r="J2" s="2"/>
      <c r="K2" s="29"/>
      <c r="L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</row>
    <row r="3" spans="1:37" x14ac:dyDescent="0.25">
      <c r="A3" s="6" t="s">
        <v>50</v>
      </c>
      <c r="C3" s="2">
        <v>2</v>
      </c>
      <c r="D3" t="s">
        <v>37</v>
      </c>
      <c r="E3" s="23">
        <v>1.2602659161082999E-4</v>
      </c>
      <c r="F3" s="23">
        <v>1.2602659161082999E-4</v>
      </c>
      <c r="G3" s="23">
        <v>1.2602659161082999E-4</v>
      </c>
      <c r="H3" s="23">
        <v>1.2602659161082999E-4</v>
      </c>
      <c r="I3" s="23">
        <v>1.2602659161082999E-4</v>
      </c>
      <c r="J3" s="2"/>
      <c r="K3" s="29"/>
      <c r="L3" s="17"/>
      <c r="M3" s="17"/>
      <c r="N3" s="17"/>
      <c r="O3" s="17"/>
      <c r="P3" s="17"/>
      <c r="Q3" s="17"/>
      <c r="R3" s="17"/>
      <c r="S3" s="17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</row>
    <row r="4" spans="1:37" x14ac:dyDescent="0.25">
      <c r="A4" t="s">
        <v>16</v>
      </c>
      <c r="C4" s="2">
        <v>3</v>
      </c>
      <c r="D4" t="s">
        <v>38</v>
      </c>
      <c r="E4" s="23">
        <v>4.04321750263932E-4</v>
      </c>
      <c r="F4" s="23">
        <v>4.04321750263932E-4</v>
      </c>
      <c r="G4" s="23">
        <v>4.04321750263932E-4</v>
      </c>
      <c r="H4" s="23">
        <v>4.04321750263932E-4</v>
      </c>
      <c r="I4" s="23">
        <v>4.04321750263932E-4</v>
      </c>
      <c r="J4" s="2"/>
      <c r="K4" s="29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</row>
    <row r="5" spans="1:37" x14ac:dyDescent="0.25">
      <c r="C5" s="2">
        <v>4</v>
      </c>
      <c r="D5" t="s">
        <v>39</v>
      </c>
      <c r="E5" s="23">
        <v>6.5824173505770205E-4</v>
      </c>
      <c r="F5" s="23">
        <v>6.5824173505770205E-4</v>
      </c>
      <c r="G5" s="23">
        <v>6.5824173505770205E-4</v>
      </c>
      <c r="H5" s="23">
        <v>6.5824173505770205E-4</v>
      </c>
      <c r="I5" s="23">
        <v>6.5824173505770205E-4</v>
      </c>
      <c r="J5" s="2"/>
      <c r="K5" s="29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</row>
    <row r="6" spans="1:37" x14ac:dyDescent="0.25">
      <c r="C6" s="2">
        <v>5</v>
      </c>
      <c r="D6" t="s">
        <v>40</v>
      </c>
      <c r="E6" s="23">
        <v>1.78801053211683E-3</v>
      </c>
      <c r="F6" s="23">
        <v>1.78801053211683E-3</v>
      </c>
      <c r="G6" s="23">
        <v>1.78801053211683E-3</v>
      </c>
      <c r="H6" s="23">
        <v>1.78801053211683E-3</v>
      </c>
      <c r="I6" s="23">
        <v>1.78801053211683E-3</v>
      </c>
      <c r="J6" s="2"/>
      <c r="K6" s="29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</row>
    <row r="7" spans="1:37" x14ac:dyDescent="0.25">
      <c r="C7" s="2">
        <v>6</v>
      </c>
      <c r="D7" t="s">
        <v>41</v>
      </c>
      <c r="E7" s="23">
        <v>4.4567601893545803E-3</v>
      </c>
      <c r="F7" s="23">
        <v>4.4567601893545803E-3</v>
      </c>
      <c r="G7" s="23">
        <v>4.4567601893545803E-3</v>
      </c>
      <c r="H7" s="23">
        <v>4.4567601893545803E-3</v>
      </c>
      <c r="I7" s="23">
        <v>4.4567601893545803E-3</v>
      </c>
      <c r="J7" s="2"/>
      <c r="K7" s="29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</row>
    <row r="8" spans="1:37" x14ac:dyDescent="0.25">
      <c r="C8" s="2">
        <v>7</v>
      </c>
      <c r="D8" t="s">
        <v>42</v>
      </c>
      <c r="E8" s="23">
        <v>8.2216188698455792E-3</v>
      </c>
      <c r="F8" s="23">
        <v>8.2216188698455792E-3</v>
      </c>
      <c r="G8" s="23">
        <v>8.2216188698455792E-3</v>
      </c>
      <c r="H8" s="23">
        <v>8.2216188698455792E-3</v>
      </c>
      <c r="I8" s="23">
        <v>8.2216188698455792E-3</v>
      </c>
      <c r="J8" s="2"/>
      <c r="K8" s="29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</row>
    <row r="9" spans="1:37" x14ac:dyDescent="0.25">
      <c r="C9" s="2">
        <v>8</v>
      </c>
      <c r="D9" t="s">
        <v>43</v>
      </c>
      <c r="E9" s="23">
        <v>1.8191438700460302E-2</v>
      </c>
      <c r="F9" s="23">
        <v>1.8191438700460302E-2</v>
      </c>
      <c r="G9" s="23">
        <v>1.8191438700460302E-2</v>
      </c>
      <c r="H9" s="23">
        <v>1.8191438700460302E-2</v>
      </c>
      <c r="I9" s="23">
        <v>1.8191438700460302E-2</v>
      </c>
      <c r="J9" s="2"/>
      <c r="K9" s="29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</row>
    <row r="10" spans="1:37" x14ac:dyDescent="0.25">
      <c r="C10" s="2">
        <v>9</v>
      </c>
      <c r="D10" t="s">
        <v>44</v>
      </c>
      <c r="E10" s="23">
        <v>9.3468819142833698E-2</v>
      </c>
      <c r="F10" s="23">
        <v>9.3468819142833698E-2</v>
      </c>
      <c r="G10" s="23">
        <v>9.3468819142833698E-2</v>
      </c>
      <c r="H10" s="23">
        <v>9.3468819142833698E-2</v>
      </c>
      <c r="I10" s="23">
        <v>9.3468819142833698E-2</v>
      </c>
      <c r="J10" s="2"/>
      <c r="K10" s="29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</row>
    <row r="13" spans="1:37" x14ac:dyDescent="0.25">
      <c r="G13" s="29"/>
      <c r="H13" s="29"/>
      <c r="I13" s="29"/>
      <c r="J13" s="29"/>
      <c r="K13" s="29"/>
    </row>
    <row r="14" spans="1:37" x14ac:dyDescent="0.25">
      <c r="G14" s="29"/>
      <c r="H14" s="29"/>
      <c r="I14" s="29"/>
      <c r="J14" s="29"/>
      <c r="K14" s="29"/>
    </row>
    <row r="15" spans="1:37" x14ac:dyDescent="0.25">
      <c r="G15" s="29"/>
      <c r="H15" s="29"/>
      <c r="I15" s="29"/>
      <c r="J15" s="29"/>
      <c r="K15" s="29"/>
    </row>
    <row r="16" spans="1:37" x14ac:dyDescent="0.25">
      <c r="G16" s="29"/>
      <c r="H16" s="29"/>
      <c r="I16" s="29"/>
      <c r="J16" s="29"/>
      <c r="K16" s="29"/>
    </row>
    <row r="17" spans="7:11" x14ac:dyDescent="0.25">
      <c r="G17" s="29"/>
      <c r="H17" s="29"/>
      <c r="I17" s="29"/>
      <c r="J17" s="29"/>
      <c r="K17" s="29"/>
    </row>
    <row r="18" spans="7:11" x14ac:dyDescent="0.25">
      <c r="G18" s="29"/>
      <c r="H18" s="29"/>
      <c r="I18" s="29"/>
      <c r="J18" s="29"/>
      <c r="K18" s="29"/>
    </row>
    <row r="19" spans="7:11" x14ac:dyDescent="0.25">
      <c r="G19" s="29"/>
      <c r="H19" s="29"/>
      <c r="I19" s="29"/>
      <c r="J19" s="29"/>
      <c r="K19" s="29"/>
    </row>
    <row r="20" spans="7:11" x14ac:dyDescent="0.25">
      <c r="G20" s="29"/>
      <c r="H20" s="29"/>
      <c r="I20" s="29"/>
      <c r="J20" s="29"/>
      <c r="K20" s="29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92D050"/>
  </sheetPr>
  <dimension ref="A1:L10"/>
  <sheetViews>
    <sheetView workbookViewId="0">
      <selection activeCell="I2" sqref="I2"/>
    </sheetView>
  </sheetViews>
  <sheetFormatPr baseColWidth="10" defaultColWidth="11" defaultRowHeight="15.75" x14ac:dyDescent="0.25"/>
  <cols>
    <col min="4" max="8" width="12.625" bestFit="1" customWidth="1"/>
  </cols>
  <sheetData>
    <row r="1" spans="1:12" x14ac:dyDescent="0.25">
      <c r="A1" s="6" t="s">
        <v>88</v>
      </c>
      <c r="C1" s="6" t="s">
        <v>6</v>
      </c>
      <c r="D1" s="8" t="s">
        <v>32</v>
      </c>
      <c r="E1" s="8" t="s">
        <v>33</v>
      </c>
      <c r="F1" s="8" t="s">
        <v>34</v>
      </c>
      <c r="G1" s="8" t="s">
        <v>3</v>
      </c>
      <c r="H1" s="8"/>
    </row>
    <row r="2" spans="1:12" x14ac:dyDescent="0.25">
      <c r="A2" s="15" t="s">
        <v>234</v>
      </c>
      <c r="C2" t="s">
        <v>20</v>
      </c>
      <c r="D2" s="61">
        <v>0.4</v>
      </c>
      <c r="E2" s="61">
        <v>0.59799999999999998</v>
      </c>
      <c r="F2" s="61">
        <v>2E-3</v>
      </c>
      <c r="G2" s="61">
        <v>5.0000000000000001E-3</v>
      </c>
      <c r="H2" s="48"/>
      <c r="I2">
        <v>0.4</v>
      </c>
      <c r="J2">
        <v>0.59799999999999998</v>
      </c>
      <c r="K2">
        <v>2E-3</v>
      </c>
      <c r="L2">
        <v>5.0000000000000001E-3</v>
      </c>
    </row>
    <row r="3" spans="1:12" x14ac:dyDescent="0.25">
      <c r="A3" s="6" t="s">
        <v>50</v>
      </c>
      <c r="C3" t="s">
        <v>20</v>
      </c>
      <c r="D3" s="23">
        <v>0.4</v>
      </c>
      <c r="E3" s="23">
        <v>0.59799999999999998</v>
      </c>
      <c r="F3" s="23">
        <v>2E-3</v>
      </c>
      <c r="G3" s="23">
        <v>5.0000000000000001E-3</v>
      </c>
      <c r="I3">
        <v>0.4</v>
      </c>
      <c r="J3">
        <v>0.59799999999999998</v>
      </c>
      <c r="K3">
        <v>2E-3</v>
      </c>
      <c r="L3">
        <v>5.0000000000000001E-3</v>
      </c>
    </row>
    <row r="4" spans="1:12" x14ac:dyDescent="0.25">
      <c r="A4" t="s">
        <v>17</v>
      </c>
      <c r="C4" t="s">
        <v>20</v>
      </c>
      <c r="D4" s="62">
        <v>0.4</v>
      </c>
      <c r="E4" s="23">
        <v>0.59399999999999997</v>
      </c>
      <c r="F4" s="23">
        <v>6.0000000000000001E-3</v>
      </c>
      <c r="G4" s="23">
        <v>1.16666666666667E-2</v>
      </c>
      <c r="I4">
        <v>0.4</v>
      </c>
      <c r="J4">
        <v>0.59399999999999997</v>
      </c>
      <c r="K4">
        <v>6.0000000000000001E-3</v>
      </c>
      <c r="L4">
        <v>1.1666666666666667E-2</v>
      </c>
    </row>
    <row r="5" spans="1:12" x14ac:dyDescent="0.25">
      <c r="C5" t="s">
        <v>20</v>
      </c>
      <c r="D5" s="23">
        <v>0.4</v>
      </c>
      <c r="E5" s="23">
        <v>0.58699999999999997</v>
      </c>
      <c r="F5" s="23">
        <v>1.2999999999999999E-2</v>
      </c>
      <c r="G5" s="23">
        <v>1.5384615384615399E-2</v>
      </c>
      <c r="H5" s="29"/>
      <c r="I5">
        <v>0.4</v>
      </c>
      <c r="J5">
        <v>0.58699999999999997</v>
      </c>
      <c r="K5">
        <v>1.2999999999999999E-2</v>
      </c>
      <c r="L5">
        <v>1.5384615384615385E-2</v>
      </c>
    </row>
    <row r="6" spans="1:12" x14ac:dyDescent="0.25">
      <c r="C6" t="s">
        <v>20</v>
      </c>
      <c r="D6" s="23">
        <v>0.4</v>
      </c>
      <c r="E6" s="23">
        <v>0.58299999999999996</v>
      </c>
      <c r="F6" s="23">
        <v>1.7000000000000001E-2</v>
      </c>
      <c r="G6" s="23">
        <v>3.5294117647058802E-2</v>
      </c>
      <c r="I6">
        <v>0.4</v>
      </c>
      <c r="J6">
        <v>0.58299999999999996</v>
      </c>
      <c r="K6">
        <v>1.7000000000000001E-2</v>
      </c>
      <c r="L6">
        <v>3.5294117647058816E-2</v>
      </c>
    </row>
    <row r="7" spans="1:12" x14ac:dyDescent="0.25">
      <c r="C7" t="s">
        <v>20</v>
      </c>
      <c r="D7" s="23">
        <v>0.4</v>
      </c>
      <c r="E7" s="23">
        <v>0.56499999999999995</v>
      </c>
      <c r="F7" s="23">
        <v>3.5000000000000003E-2</v>
      </c>
      <c r="G7" s="23">
        <v>5.7142857142857099E-2</v>
      </c>
      <c r="I7">
        <v>0.4</v>
      </c>
      <c r="J7">
        <v>0.56499999999999995</v>
      </c>
      <c r="K7">
        <v>3.5000000000000003E-2</v>
      </c>
      <c r="L7">
        <v>5.7142857142857141E-2</v>
      </c>
    </row>
    <row r="8" spans="1:12" x14ac:dyDescent="0.25">
      <c r="C8" t="s">
        <v>20</v>
      </c>
      <c r="D8" s="23">
        <v>0.4</v>
      </c>
      <c r="E8" s="23">
        <v>0.52900000000000003</v>
      </c>
      <c r="F8" s="23">
        <v>7.0999999999999994E-2</v>
      </c>
      <c r="G8" s="23">
        <v>0.12676056338028199</v>
      </c>
      <c r="I8">
        <v>0.4</v>
      </c>
      <c r="J8">
        <v>0.52900000000000003</v>
      </c>
      <c r="K8">
        <v>7.0999999999999994E-2</v>
      </c>
      <c r="L8">
        <v>0.12676056338028172</v>
      </c>
    </row>
    <row r="9" spans="1:12" x14ac:dyDescent="0.25">
      <c r="C9" t="s">
        <v>20</v>
      </c>
      <c r="D9" s="23">
        <v>0.4</v>
      </c>
      <c r="E9" s="23">
        <v>0.48699999999999999</v>
      </c>
      <c r="F9" s="23">
        <v>0.113</v>
      </c>
      <c r="G9" s="23">
        <v>0.212389380530973</v>
      </c>
      <c r="I9">
        <v>0.4</v>
      </c>
      <c r="J9">
        <v>0.48699999999999999</v>
      </c>
      <c r="K9">
        <v>0.113</v>
      </c>
      <c r="L9">
        <v>0.21238938053097345</v>
      </c>
    </row>
    <row r="10" spans="1:12" x14ac:dyDescent="0.25">
      <c r="C10" t="s">
        <v>20</v>
      </c>
      <c r="D10" s="23">
        <v>0.4</v>
      </c>
      <c r="E10" s="23">
        <v>0.28000000000000003</v>
      </c>
      <c r="F10" s="23">
        <v>0.32</v>
      </c>
      <c r="G10" s="23">
        <v>0.31562499999999999</v>
      </c>
      <c r="I10">
        <v>0.4</v>
      </c>
      <c r="J10">
        <v>0.27999999999999997</v>
      </c>
      <c r="K10">
        <v>0.32</v>
      </c>
      <c r="L10">
        <v>0.31562499999999999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8">
    <tabColor rgb="FF92D050"/>
  </sheetPr>
  <dimension ref="A1:X57"/>
  <sheetViews>
    <sheetView workbookViewId="0">
      <selection activeCell="C1" sqref="C1"/>
    </sheetView>
  </sheetViews>
  <sheetFormatPr baseColWidth="10" defaultColWidth="11" defaultRowHeight="15.75" x14ac:dyDescent="0.25"/>
  <cols>
    <col min="5" max="5" width="11.875" bestFit="1" customWidth="1"/>
    <col min="7" max="7" width="11.875" bestFit="1" customWidth="1"/>
  </cols>
  <sheetData>
    <row r="1" spans="1:19" x14ac:dyDescent="0.25">
      <c r="A1" s="6" t="s">
        <v>88</v>
      </c>
      <c r="C1" t="s">
        <v>7</v>
      </c>
      <c r="D1" t="s">
        <v>5</v>
      </c>
      <c r="E1" s="6" t="s">
        <v>21</v>
      </c>
      <c r="F1" s="6" t="s">
        <v>22</v>
      </c>
      <c r="G1" s="6" t="s">
        <v>23</v>
      </c>
      <c r="H1" s="6" t="s">
        <v>24</v>
      </c>
      <c r="I1" s="6" t="s">
        <v>25</v>
      </c>
      <c r="J1" s="6" t="s">
        <v>26</v>
      </c>
      <c r="K1" s="6" t="s">
        <v>27</v>
      </c>
      <c r="L1" s="6" t="s">
        <v>28</v>
      </c>
      <c r="M1" s="6" t="s">
        <v>29</v>
      </c>
      <c r="S1" s="19"/>
    </row>
    <row r="2" spans="1:19" x14ac:dyDescent="0.25">
      <c r="A2" s="15" t="s">
        <v>234</v>
      </c>
      <c r="C2" s="6" t="s">
        <v>36</v>
      </c>
      <c r="D2" s="6" t="s">
        <v>21</v>
      </c>
      <c r="E2" s="23">
        <v>31.772119499999999</v>
      </c>
      <c r="F2" s="23">
        <v>14.77313805</v>
      </c>
      <c r="G2" s="23">
        <v>3.9751865999999998</v>
      </c>
      <c r="H2" s="23">
        <v>10.884439499999999</v>
      </c>
      <c r="I2" s="23">
        <v>9.1954747500000007</v>
      </c>
      <c r="J2" s="23">
        <v>3.5900699999999999</v>
      </c>
      <c r="K2" s="23">
        <v>3.8511660000000001</v>
      </c>
      <c r="L2" s="23">
        <v>1.9419014999999999</v>
      </c>
      <c r="M2" s="23">
        <v>1.9419014999999999</v>
      </c>
    </row>
    <row r="3" spans="1:19" x14ac:dyDescent="0.25">
      <c r="A3" s="6" t="s">
        <v>50</v>
      </c>
      <c r="C3" s="6" t="s">
        <v>37</v>
      </c>
      <c r="D3" s="6" t="s">
        <v>22</v>
      </c>
      <c r="E3" s="23">
        <v>14.77313805</v>
      </c>
      <c r="F3" s="23">
        <v>79.699554000000006</v>
      </c>
      <c r="G3" s="23">
        <v>21.10471605</v>
      </c>
      <c r="H3" s="23">
        <v>5.0114113500000004</v>
      </c>
      <c r="I3" s="23">
        <v>12.5815635</v>
      </c>
      <c r="J3" s="23">
        <v>7.1572940999999997</v>
      </c>
      <c r="K3" s="23">
        <v>3.0042358500000002</v>
      </c>
      <c r="L3" s="23">
        <v>2.7774087000000001</v>
      </c>
      <c r="M3" s="23">
        <v>2.7774087000000001</v>
      </c>
      <c r="O3" s="18"/>
    </row>
    <row r="4" spans="1:19" x14ac:dyDescent="0.25">
      <c r="A4" t="s">
        <v>18</v>
      </c>
      <c r="C4" s="6" t="s">
        <v>38</v>
      </c>
      <c r="D4" s="6" t="s">
        <v>23</v>
      </c>
      <c r="E4" s="23">
        <v>3.9751865999999998</v>
      </c>
      <c r="F4" s="23">
        <v>21.10471605</v>
      </c>
      <c r="G4" s="23">
        <v>36.243388500000002</v>
      </c>
      <c r="H4" s="23">
        <v>17.248654500000001</v>
      </c>
      <c r="I4" s="23">
        <v>11.080261500000001</v>
      </c>
      <c r="J4" s="23">
        <v>11.7656385</v>
      </c>
      <c r="K4" s="23">
        <v>6.60083325</v>
      </c>
      <c r="L4" s="23">
        <v>3.3844569</v>
      </c>
      <c r="M4" s="23">
        <v>3.3844569</v>
      </c>
      <c r="O4" s="19"/>
    </row>
    <row r="5" spans="1:19" x14ac:dyDescent="0.25">
      <c r="C5" s="6" t="s">
        <v>39</v>
      </c>
      <c r="D5" s="6" t="s">
        <v>24</v>
      </c>
      <c r="E5" s="23">
        <v>10.884439499999999</v>
      </c>
      <c r="F5" s="23">
        <v>5.0114113500000004</v>
      </c>
      <c r="G5" s="23">
        <v>17.248654500000001</v>
      </c>
      <c r="H5" s="23">
        <v>22.878537000000001</v>
      </c>
      <c r="I5" s="23">
        <v>16.987558499999999</v>
      </c>
      <c r="J5" s="23">
        <v>11.879868</v>
      </c>
      <c r="K5" s="23">
        <v>10.476476999999999</v>
      </c>
      <c r="L5" s="23">
        <v>6.8146056000000002</v>
      </c>
      <c r="M5" s="23">
        <v>6.8146056000000002</v>
      </c>
      <c r="O5" s="19"/>
    </row>
    <row r="6" spans="1:19" x14ac:dyDescent="0.25">
      <c r="C6" s="6" t="s">
        <v>40</v>
      </c>
      <c r="D6" s="6" t="s">
        <v>25</v>
      </c>
      <c r="E6" s="23">
        <v>9.1954747500000007</v>
      </c>
      <c r="F6" s="23">
        <v>12.5815635</v>
      </c>
      <c r="G6" s="23">
        <v>11.080261500000001</v>
      </c>
      <c r="H6" s="23">
        <v>16.987558499999999</v>
      </c>
      <c r="I6" s="23">
        <v>19.957525499999999</v>
      </c>
      <c r="J6" s="23">
        <v>15.9105375</v>
      </c>
      <c r="K6" s="23">
        <v>9.7421445000000002</v>
      </c>
      <c r="L6" s="23">
        <v>5.4079509000000003</v>
      </c>
      <c r="M6" s="23">
        <v>5.4079509000000003</v>
      </c>
    </row>
    <row r="7" spans="1:19" x14ac:dyDescent="0.25">
      <c r="C7" s="6" t="s">
        <v>41</v>
      </c>
      <c r="D7" s="6" t="s">
        <v>26</v>
      </c>
      <c r="E7" s="23">
        <v>3.5900699999999999</v>
      </c>
      <c r="F7" s="23">
        <v>7.1572940999999997</v>
      </c>
      <c r="G7" s="23">
        <v>11.7656385</v>
      </c>
      <c r="H7" s="23">
        <v>11.879868</v>
      </c>
      <c r="I7" s="23">
        <v>15.9105375</v>
      </c>
      <c r="J7" s="23">
        <v>20.936635500000001</v>
      </c>
      <c r="K7" s="23">
        <v>11.9288235</v>
      </c>
      <c r="L7" s="23">
        <v>5.9725710000000003</v>
      </c>
      <c r="M7" s="23">
        <v>5.9725710000000003</v>
      </c>
    </row>
    <row r="8" spans="1:19" x14ac:dyDescent="0.25">
      <c r="C8" s="6" t="s">
        <v>42</v>
      </c>
      <c r="D8" s="6" t="s">
        <v>27</v>
      </c>
      <c r="E8" s="23">
        <v>3.8511660000000001</v>
      </c>
      <c r="F8" s="23">
        <v>3.0042358500000002</v>
      </c>
      <c r="G8" s="23">
        <v>6.60083325</v>
      </c>
      <c r="H8" s="23">
        <v>10.476476999999999</v>
      </c>
      <c r="I8" s="23">
        <v>9.7421445000000002</v>
      </c>
      <c r="J8" s="23">
        <v>11.9288235</v>
      </c>
      <c r="K8" s="23">
        <v>17.167062000000001</v>
      </c>
      <c r="L8" s="23">
        <v>13.642265999999999</v>
      </c>
      <c r="M8" s="23">
        <v>13.642265999999999</v>
      </c>
    </row>
    <row r="9" spans="1:19" x14ac:dyDescent="0.25">
      <c r="C9" s="6" t="s">
        <v>43</v>
      </c>
      <c r="D9" s="6" t="s">
        <v>28</v>
      </c>
      <c r="E9" s="29">
        <v>1.9419014999999999</v>
      </c>
      <c r="F9" s="29">
        <v>2.7774087000000001</v>
      </c>
      <c r="G9" s="29">
        <v>3.3844569</v>
      </c>
      <c r="H9" s="29">
        <v>6.8146056000000002</v>
      </c>
      <c r="I9" s="23">
        <v>5.4079509000000003</v>
      </c>
      <c r="J9" s="23">
        <v>5.9725710000000003</v>
      </c>
      <c r="K9" s="23">
        <v>13.642265999999999</v>
      </c>
      <c r="L9" s="23">
        <v>13.903362</v>
      </c>
      <c r="M9" s="23">
        <v>13.903362</v>
      </c>
    </row>
    <row r="10" spans="1:19" x14ac:dyDescent="0.25">
      <c r="C10" s="6" t="s">
        <v>44</v>
      </c>
      <c r="D10" s="6" t="s">
        <v>29</v>
      </c>
      <c r="E10" s="29">
        <v>1.9419014999999999</v>
      </c>
      <c r="F10" s="29">
        <v>2.7774087000000001</v>
      </c>
      <c r="G10" s="29">
        <v>3.3844569</v>
      </c>
      <c r="H10" s="29">
        <v>6.8146056000000002</v>
      </c>
      <c r="I10" s="23">
        <v>5.4079509000000003</v>
      </c>
      <c r="J10" s="23">
        <v>5.9725710000000003</v>
      </c>
      <c r="K10" s="23">
        <v>13.642265999999999</v>
      </c>
      <c r="L10" s="23">
        <v>13.903362</v>
      </c>
      <c r="M10" s="23">
        <v>13.903362</v>
      </c>
    </row>
    <row r="12" spans="1:19" x14ac:dyDescent="0.25">
      <c r="E12" s="36"/>
      <c r="F12" s="36"/>
      <c r="G12" s="36"/>
      <c r="H12" s="36"/>
      <c r="I12" s="36"/>
      <c r="J12" s="36"/>
      <c r="K12" s="36"/>
      <c r="L12" s="36"/>
      <c r="M12" s="36"/>
    </row>
    <row r="13" spans="1:19" x14ac:dyDescent="0.25">
      <c r="E13" s="36"/>
      <c r="F13" s="36"/>
      <c r="G13" s="36"/>
      <c r="H13" s="36"/>
      <c r="I13" s="36"/>
      <c r="J13" s="36"/>
      <c r="K13" s="36"/>
      <c r="L13" s="36"/>
      <c r="M13" s="36"/>
    </row>
    <row r="14" spans="1:19" x14ac:dyDescent="0.25">
      <c r="E14" s="36"/>
      <c r="F14" s="36"/>
      <c r="G14" s="36"/>
      <c r="H14" s="36"/>
      <c r="I14" s="36"/>
      <c r="J14" s="36"/>
      <c r="K14" s="36"/>
      <c r="L14" s="36"/>
      <c r="M14" s="36"/>
    </row>
    <row r="15" spans="1:19" x14ac:dyDescent="0.25">
      <c r="E15" s="36"/>
      <c r="F15" s="36"/>
      <c r="G15" s="36"/>
      <c r="H15" s="36"/>
      <c r="I15" s="36"/>
      <c r="J15" s="36"/>
      <c r="K15" s="36"/>
      <c r="L15" s="36"/>
      <c r="M15" s="36"/>
    </row>
    <row r="16" spans="1:19" x14ac:dyDescent="0.25">
      <c r="E16" s="36"/>
      <c r="F16" s="36"/>
      <c r="G16" s="36"/>
      <c r="H16" s="36"/>
      <c r="I16" s="36"/>
      <c r="J16" s="36"/>
      <c r="K16" s="36"/>
      <c r="L16" s="36"/>
      <c r="M16" s="36"/>
    </row>
    <row r="17" spans="5:15" x14ac:dyDescent="0.25">
      <c r="E17" s="36"/>
      <c r="F17" s="36"/>
      <c r="G17" s="36"/>
      <c r="H17" s="36"/>
      <c r="I17" s="36"/>
      <c r="J17" s="36"/>
      <c r="K17" s="36"/>
      <c r="L17" s="36"/>
      <c r="M17" s="36"/>
    </row>
    <row r="18" spans="5:15" x14ac:dyDescent="0.25">
      <c r="E18" s="36"/>
      <c r="F18" s="36"/>
      <c r="G18" s="36"/>
      <c r="H18" s="36"/>
      <c r="I18" s="36"/>
      <c r="J18" s="36"/>
      <c r="K18" s="36"/>
      <c r="L18" s="36"/>
      <c r="M18" s="36"/>
    </row>
    <row r="19" spans="5:15" x14ac:dyDescent="0.25">
      <c r="E19" s="36"/>
      <c r="F19" s="36"/>
      <c r="G19" s="36"/>
      <c r="H19" s="36"/>
      <c r="I19" s="36"/>
      <c r="J19" s="36"/>
      <c r="K19" s="36"/>
      <c r="L19" s="36"/>
      <c r="M19" s="36"/>
      <c r="O19" s="6"/>
    </row>
    <row r="20" spans="5:15" x14ac:dyDescent="0.25">
      <c r="E20" s="23"/>
      <c r="F20" s="23"/>
      <c r="G20" s="36"/>
      <c r="H20" s="36"/>
      <c r="I20" s="36"/>
      <c r="J20" s="36"/>
      <c r="K20" s="36"/>
      <c r="L20" s="36"/>
      <c r="M20" s="36"/>
    </row>
    <row r="21" spans="5:15" x14ac:dyDescent="0.25">
      <c r="O21" s="6"/>
    </row>
    <row r="22" spans="5:15" x14ac:dyDescent="0.25">
      <c r="E22" s="37"/>
      <c r="F22" s="37"/>
      <c r="G22" s="37"/>
      <c r="H22" s="37"/>
      <c r="I22" s="37"/>
      <c r="J22" s="37"/>
      <c r="K22" s="37"/>
      <c r="L22" s="37"/>
      <c r="M22" s="37"/>
    </row>
    <row r="23" spans="5:15" x14ac:dyDescent="0.25">
      <c r="E23" s="37"/>
      <c r="F23" s="37"/>
      <c r="G23" s="37"/>
      <c r="H23" s="37"/>
      <c r="I23" s="37"/>
      <c r="J23" s="37"/>
      <c r="K23" s="37"/>
      <c r="L23" s="37"/>
      <c r="M23" s="37"/>
      <c r="O23" s="6"/>
    </row>
    <row r="24" spans="5:15" x14ac:dyDescent="0.25">
      <c r="E24" s="37"/>
      <c r="F24" s="37"/>
      <c r="G24" s="37"/>
      <c r="H24" s="37"/>
      <c r="I24" s="37"/>
      <c r="J24" s="37"/>
      <c r="K24" s="37"/>
      <c r="L24" s="37"/>
      <c r="M24" s="37"/>
    </row>
    <row r="25" spans="5:15" x14ac:dyDescent="0.25">
      <c r="E25" s="37"/>
      <c r="F25" s="37"/>
      <c r="G25" s="37"/>
      <c r="H25" s="37"/>
      <c r="I25" s="37"/>
      <c r="J25" s="37"/>
      <c r="K25" s="37"/>
      <c r="L25" s="37"/>
      <c r="M25" s="37"/>
      <c r="O25" s="6"/>
    </row>
    <row r="26" spans="5:15" x14ac:dyDescent="0.25">
      <c r="E26" s="37"/>
      <c r="F26" s="37"/>
      <c r="G26" s="37"/>
      <c r="H26" s="37"/>
      <c r="I26" s="37"/>
      <c r="J26" s="37"/>
      <c r="K26" s="37"/>
      <c r="L26" s="37"/>
      <c r="M26" s="37"/>
    </row>
    <row r="27" spans="5:15" x14ac:dyDescent="0.25">
      <c r="E27" s="37"/>
      <c r="F27" s="37"/>
      <c r="G27" s="37"/>
      <c r="H27" s="37"/>
      <c r="I27" s="37"/>
      <c r="J27" s="37"/>
      <c r="K27" s="37"/>
      <c r="L27" s="37"/>
      <c r="M27" s="37"/>
      <c r="O27" s="6"/>
    </row>
    <row r="28" spans="5:15" x14ac:dyDescent="0.25">
      <c r="E28" s="37"/>
      <c r="F28" s="37"/>
      <c r="G28" s="37"/>
      <c r="H28" s="37"/>
      <c r="I28" s="37"/>
      <c r="J28" s="37"/>
      <c r="K28" s="37"/>
      <c r="L28" s="37"/>
      <c r="M28" s="37"/>
    </row>
    <row r="29" spans="5:15" x14ac:dyDescent="0.25">
      <c r="E29" s="37"/>
      <c r="F29" s="37"/>
      <c r="G29" s="37"/>
      <c r="H29" s="37"/>
      <c r="I29" s="37"/>
      <c r="J29" s="37"/>
      <c r="K29" s="37"/>
      <c r="L29" s="37"/>
      <c r="M29" s="37"/>
      <c r="O29" s="6"/>
    </row>
    <row r="30" spans="5:15" x14ac:dyDescent="0.25">
      <c r="E30" s="37"/>
      <c r="F30" s="37"/>
      <c r="G30" s="37"/>
      <c r="H30" s="37"/>
      <c r="I30" s="37"/>
      <c r="J30" s="37"/>
      <c r="K30" s="37"/>
      <c r="L30" s="37"/>
      <c r="M30" s="37"/>
    </row>
    <row r="31" spans="5:15" x14ac:dyDescent="0.25">
      <c r="O31" s="6"/>
    </row>
    <row r="33" spans="5:24" x14ac:dyDescent="0.25">
      <c r="O33" s="6"/>
    </row>
    <row r="35" spans="5:24" x14ac:dyDescent="0.25">
      <c r="O35" s="6"/>
    </row>
    <row r="37" spans="5:24" x14ac:dyDescent="0.25">
      <c r="O37" s="21"/>
      <c r="P37" s="15"/>
      <c r="Q37" s="15"/>
      <c r="R37" s="15"/>
      <c r="S37" s="15"/>
      <c r="T37" s="15"/>
      <c r="U37" s="15"/>
      <c r="V37" s="15"/>
      <c r="W37" s="15"/>
      <c r="X37" s="15"/>
    </row>
    <row r="40" spans="5:24" x14ac:dyDescent="0.25"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</row>
    <row r="41" spans="5:24" x14ac:dyDescent="0.25"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</row>
    <row r="42" spans="5:24" x14ac:dyDescent="0.25"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</row>
    <row r="43" spans="5:24" x14ac:dyDescent="0.25">
      <c r="E43" s="26"/>
      <c r="F43" s="26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29"/>
      <c r="U43" s="29"/>
    </row>
    <row r="44" spans="5:24" x14ac:dyDescent="0.25">
      <c r="E44" s="26"/>
      <c r="F44" s="26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29"/>
      <c r="U44" s="29"/>
    </row>
    <row r="45" spans="5:24" x14ac:dyDescent="0.25">
      <c r="E45" s="26"/>
      <c r="F45" s="26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29"/>
      <c r="U45" s="29"/>
    </row>
    <row r="46" spans="5:24" x14ac:dyDescent="0.25">
      <c r="E46" s="26"/>
      <c r="F46" s="26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29"/>
      <c r="U46" s="29"/>
    </row>
    <row r="47" spans="5:24" x14ac:dyDescent="0.25">
      <c r="E47" s="26"/>
      <c r="F47" s="26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29"/>
      <c r="U47" s="29"/>
    </row>
    <row r="48" spans="5:24" x14ac:dyDescent="0.25">
      <c r="E48" s="26"/>
      <c r="F48" s="26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29"/>
      <c r="U48" s="29"/>
    </row>
    <row r="49" spans="5:21" x14ac:dyDescent="0.25">
      <c r="E49" s="26"/>
      <c r="F49" s="26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29"/>
      <c r="U49" s="29"/>
    </row>
    <row r="50" spans="5:21" x14ac:dyDescent="0.25">
      <c r="E50" s="26"/>
      <c r="F50" s="26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29"/>
      <c r="U50" s="29"/>
    </row>
    <row r="51" spans="5:21" x14ac:dyDescent="0.25">
      <c r="E51" s="26"/>
      <c r="F51" s="26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29"/>
      <c r="U51" s="29"/>
    </row>
    <row r="52" spans="5:21" x14ac:dyDescent="0.25">
      <c r="E52" s="26"/>
      <c r="F52" s="26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29"/>
      <c r="U52" s="29"/>
    </row>
    <row r="53" spans="5:21" x14ac:dyDescent="0.25">
      <c r="E53" s="26"/>
      <c r="F53" s="26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29"/>
      <c r="U53" s="29"/>
    </row>
    <row r="54" spans="5:21" x14ac:dyDescent="0.25">
      <c r="E54" s="26"/>
      <c r="F54" s="26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29"/>
      <c r="U54" s="29"/>
    </row>
    <row r="55" spans="5:21" x14ac:dyDescent="0.25">
      <c r="E55" s="26"/>
      <c r="F55" s="26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29"/>
      <c r="U55" s="29"/>
    </row>
    <row r="56" spans="5:21" x14ac:dyDescent="0.25">
      <c r="E56" s="25"/>
      <c r="F56" s="2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29"/>
      <c r="U56" s="29"/>
    </row>
    <row r="57" spans="5:21" x14ac:dyDescent="0.25"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</row>
  </sheetData>
  <conditionalFormatting sqref="G59:U73">
    <cfRule type="colorScale" priority="1">
      <colorScale>
        <cfvo type="min"/>
        <cfvo type="max"/>
        <color rgb="FFFFC000"/>
        <color rgb="FFFF0000"/>
      </colorScale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7">
    <tabColor rgb="FFFF0000"/>
  </sheetPr>
  <dimension ref="A1:Q91"/>
  <sheetViews>
    <sheetView workbookViewId="0">
      <selection activeCell="G10" sqref="G10"/>
    </sheetView>
  </sheetViews>
  <sheetFormatPr baseColWidth="10" defaultColWidth="11" defaultRowHeight="15.75" x14ac:dyDescent="0.25"/>
  <cols>
    <col min="6" max="6" width="13.25" customWidth="1"/>
    <col min="12" max="12" width="12.25" customWidth="1"/>
  </cols>
  <sheetData>
    <row r="1" spans="1:17" s="13" customFormat="1" ht="31.5" x14ac:dyDescent="0.25">
      <c r="A1" s="6" t="s">
        <v>88</v>
      </c>
      <c r="C1" s="10" t="s">
        <v>6</v>
      </c>
      <c r="D1" s="11" t="s">
        <v>32</v>
      </c>
      <c r="E1" s="11" t="s">
        <v>33</v>
      </c>
      <c r="F1" s="11" t="s">
        <v>34</v>
      </c>
      <c r="G1" s="12" t="s">
        <v>3</v>
      </c>
      <c r="K1" s="6" t="s">
        <v>7</v>
      </c>
      <c r="L1" s="10" t="s">
        <v>45</v>
      </c>
      <c r="M1" s="10" t="s">
        <v>46</v>
      </c>
      <c r="N1" s="10" t="s">
        <v>47</v>
      </c>
    </row>
    <row r="2" spans="1:17" x14ac:dyDescent="0.25">
      <c r="A2" s="15" t="s">
        <v>85</v>
      </c>
      <c r="C2" s="5" t="s">
        <v>20</v>
      </c>
      <c r="D2" s="9">
        <f t="shared" ref="D2:D10" si="0">1-L2</f>
        <v>0.4</v>
      </c>
      <c r="E2" s="9">
        <f>1-D2-F2</f>
        <v>0.59799999999999998</v>
      </c>
      <c r="F2" s="9">
        <f>+M2</f>
        <v>2E-3</v>
      </c>
      <c r="G2" s="9">
        <f>+N2/F2</f>
        <v>5.0000000000000001E-3</v>
      </c>
      <c r="K2" s="6" t="s">
        <v>36</v>
      </c>
      <c r="L2" s="14">
        <v>0.6</v>
      </c>
      <c r="M2" s="9">
        <v>2E-3</v>
      </c>
      <c r="N2" s="14">
        <v>1.0000000000000001E-5</v>
      </c>
    </row>
    <row r="3" spans="1:17" x14ac:dyDescent="0.25">
      <c r="A3" s="6" t="s">
        <v>50</v>
      </c>
      <c r="C3" s="5" t="s">
        <v>20</v>
      </c>
      <c r="D3" s="9">
        <f t="shared" si="0"/>
        <v>0.4</v>
      </c>
      <c r="E3" s="9">
        <f t="shared" ref="E3:E10" si="1">1-D3-F3</f>
        <v>0.59799999999999998</v>
      </c>
      <c r="F3" s="9">
        <f t="shared" ref="F3:F10" si="2">+M3</f>
        <v>2E-3</v>
      </c>
      <c r="G3" s="9">
        <f t="shared" ref="G3:G10" si="3">+N3/F3</f>
        <v>5.0000000000000001E-3</v>
      </c>
      <c r="K3" s="6" t="s">
        <v>37</v>
      </c>
      <c r="L3" s="14">
        <v>0.6</v>
      </c>
      <c r="M3" s="9">
        <v>2E-3</v>
      </c>
      <c r="N3" s="14">
        <v>1.0000000000000001E-5</v>
      </c>
    </row>
    <row r="4" spans="1:17" x14ac:dyDescent="0.25">
      <c r="A4" t="s">
        <v>17</v>
      </c>
      <c r="C4" s="5" t="s">
        <v>20</v>
      </c>
      <c r="D4" s="9">
        <f t="shared" si="0"/>
        <v>0.4</v>
      </c>
      <c r="E4" s="9">
        <f t="shared" si="1"/>
        <v>0.59399999999999997</v>
      </c>
      <c r="F4" s="9">
        <f t="shared" si="2"/>
        <v>6.0000000000000001E-3</v>
      </c>
      <c r="G4" s="9">
        <f t="shared" si="3"/>
        <v>1.1666666666666667E-2</v>
      </c>
      <c r="K4" s="6" t="s">
        <v>38</v>
      </c>
      <c r="L4" s="14">
        <v>0.6</v>
      </c>
      <c r="M4" s="9">
        <v>6.0000000000000001E-3</v>
      </c>
      <c r="N4" s="14">
        <v>7.0000000000000007E-5</v>
      </c>
    </row>
    <row r="5" spans="1:17" x14ac:dyDescent="0.25">
      <c r="C5" s="5" t="s">
        <v>20</v>
      </c>
      <c r="D5" s="9">
        <f t="shared" si="0"/>
        <v>0.4</v>
      </c>
      <c r="E5" s="9">
        <f t="shared" si="1"/>
        <v>0.58699999999999997</v>
      </c>
      <c r="F5" s="9">
        <f t="shared" si="2"/>
        <v>1.2999999999999999E-2</v>
      </c>
      <c r="G5" s="9">
        <f t="shared" si="3"/>
        <v>1.5384615384615385E-2</v>
      </c>
      <c r="K5" s="6" t="s">
        <v>39</v>
      </c>
      <c r="L5" s="14">
        <v>0.6</v>
      </c>
      <c r="M5" s="9">
        <v>1.2999999999999999E-2</v>
      </c>
      <c r="N5" s="14">
        <v>2.0000000000000001E-4</v>
      </c>
    </row>
    <row r="6" spans="1:17" x14ac:dyDescent="0.25">
      <c r="C6" s="5" t="s">
        <v>20</v>
      </c>
      <c r="D6" s="9">
        <f t="shared" si="0"/>
        <v>0.4</v>
      </c>
      <c r="E6" s="9">
        <f t="shared" si="1"/>
        <v>0.58299999999999996</v>
      </c>
      <c r="F6" s="9">
        <f t="shared" si="2"/>
        <v>1.7000000000000001E-2</v>
      </c>
      <c r="G6" s="9">
        <f t="shared" si="3"/>
        <v>3.5294117647058816E-2</v>
      </c>
      <c r="K6" s="6" t="s">
        <v>40</v>
      </c>
      <c r="L6" s="14">
        <v>0.6</v>
      </c>
      <c r="M6" s="9">
        <v>1.7000000000000001E-2</v>
      </c>
      <c r="N6" s="14">
        <v>5.9999999999999995E-4</v>
      </c>
    </row>
    <row r="7" spans="1:17" x14ac:dyDescent="0.25">
      <c r="C7" s="5" t="s">
        <v>20</v>
      </c>
      <c r="D7" s="9">
        <f t="shared" si="0"/>
        <v>0.4</v>
      </c>
      <c r="E7" s="9">
        <f t="shared" si="1"/>
        <v>0.56499999999999995</v>
      </c>
      <c r="F7" s="9">
        <f t="shared" si="2"/>
        <v>3.5000000000000003E-2</v>
      </c>
      <c r="G7" s="9">
        <f t="shared" si="3"/>
        <v>5.7142857142857141E-2</v>
      </c>
      <c r="K7" s="6" t="s">
        <v>41</v>
      </c>
      <c r="L7" s="14">
        <v>0.6</v>
      </c>
      <c r="M7" s="9">
        <v>3.5000000000000003E-2</v>
      </c>
      <c r="N7" s="14">
        <v>2E-3</v>
      </c>
    </row>
    <row r="8" spans="1:17" x14ac:dyDescent="0.25">
      <c r="C8" s="5" t="s">
        <v>20</v>
      </c>
      <c r="D8" s="9">
        <f t="shared" si="0"/>
        <v>0.4</v>
      </c>
      <c r="E8" s="9">
        <f t="shared" si="1"/>
        <v>0.52900000000000003</v>
      </c>
      <c r="F8" s="9">
        <f t="shared" si="2"/>
        <v>7.0999999999999994E-2</v>
      </c>
      <c r="G8" s="9">
        <f t="shared" si="3"/>
        <v>0.12676056338028172</v>
      </c>
      <c r="K8" s="6" t="s">
        <v>42</v>
      </c>
      <c r="L8" s="14">
        <v>0.6</v>
      </c>
      <c r="M8" s="9">
        <v>7.0999999999999994E-2</v>
      </c>
      <c r="N8" s="14">
        <v>9.0000000000000011E-3</v>
      </c>
    </row>
    <row r="9" spans="1:17" x14ac:dyDescent="0.25">
      <c r="C9" s="5" t="s">
        <v>20</v>
      </c>
      <c r="D9" s="9">
        <f t="shared" si="0"/>
        <v>0.4</v>
      </c>
      <c r="E9" s="9">
        <f t="shared" si="1"/>
        <v>0.48699999999999999</v>
      </c>
      <c r="F9" s="9">
        <f t="shared" si="2"/>
        <v>0.113</v>
      </c>
      <c r="G9" s="9">
        <f t="shared" si="3"/>
        <v>0.21238938053097345</v>
      </c>
      <c r="K9" s="6" t="s">
        <v>43</v>
      </c>
      <c r="L9" s="14">
        <v>0.6</v>
      </c>
      <c r="M9" s="9">
        <v>0.113</v>
      </c>
      <c r="N9" s="14">
        <v>2.4E-2</v>
      </c>
    </row>
    <row r="10" spans="1:17" x14ac:dyDescent="0.25">
      <c r="C10" s="5" t="s">
        <v>20</v>
      </c>
      <c r="D10" s="9">
        <f t="shared" si="0"/>
        <v>0.4</v>
      </c>
      <c r="E10" s="9">
        <f t="shared" si="1"/>
        <v>0.27999999999999997</v>
      </c>
      <c r="F10" s="9">
        <f t="shared" si="2"/>
        <v>0.32</v>
      </c>
      <c r="G10" s="9">
        <f t="shared" si="3"/>
        <v>0.31562499999999999</v>
      </c>
      <c r="K10" s="6" t="s">
        <v>44</v>
      </c>
      <c r="L10" s="14">
        <v>0.6</v>
      </c>
      <c r="M10" s="9">
        <v>0.32</v>
      </c>
      <c r="N10" s="14">
        <v>0.10099999999999999</v>
      </c>
    </row>
    <row r="11" spans="1:17" x14ac:dyDescent="0.25">
      <c r="C11" s="5"/>
      <c r="D11" s="9"/>
      <c r="E11" s="9"/>
      <c r="F11" s="9"/>
      <c r="G11" s="9"/>
      <c r="L11" s="6"/>
      <c r="N11" s="30"/>
    </row>
    <row r="12" spans="1:17" x14ac:dyDescent="0.25">
      <c r="C12" s="5"/>
      <c r="D12" s="9"/>
      <c r="E12" s="9"/>
      <c r="F12" s="9"/>
      <c r="G12" s="9"/>
      <c r="M12" t="s">
        <v>234</v>
      </c>
      <c r="P12" t="s">
        <v>582</v>
      </c>
    </row>
    <row r="13" spans="1:17" x14ac:dyDescent="0.25">
      <c r="C13" s="5"/>
      <c r="D13" s="9"/>
      <c r="E13" s="9"/>
      <c r="F13" s="9"/>
      <c r="G13" s="9"/>
      <c r="L13" s="9"/>
      <c r="M13">
        <v>2E-3</v>
      </c>
      <c r="N13" s="14">
        <v>1.0000000000000001E-5</v>
      </c>
      <c r="O13" s="9"/>
      <c r="P13" s="14">
        <v>1.5967761984749983E-2</v>
      </c>
      <c r="Q13" s="14">
        <v>1.6660486699744505E-4</v>
      </c>
    </row>
    <row r="14" spans="1:17" x14ac:dyDescent="0.25">
      <c r="C14" s="5"/>
      <c r="D14" s="9"/>
      <c r="E14" s="9"/>
      <c r="F14" s="9"/>
      <c r="G14" s="9"/>
      <c r="L14" s="9"/>
      <c r="M14" s="9">
        <v>2E-3</v>
      </c>
      <c r="N14" s="14">
        <v>1.0000000000000001E-5</v>
      </c>
      <c r="O14" s="9"/>
      <c r="P14" s="14">
        <v>6.3742475243288394E-4</v>
      </c>
      <c r="Q14" s="14">
        <v>5.1767798198305716E-6</v>
      </c>
    </row>
    <row r="15" spans="1:17" x14ac:dyDescent="0.25">
      <c r="C15" s="5"/>
      <c r="D15" s="9"/>
      <c r="E15" s="9"/>
      <c r="F15" s="9"/>
      <c r="G15" s="9"/>
      <c r="L15" s="9"/>
      <c r="M15" s="9">
        <v>6.0000000000000001E-3</v>
      </c>
      <c r="N15" s="14">
        <v>7.0000000000000007E-5</v>
      </c>
      <c r="O15" s="9"/>
      <c r="P15" s="14">
        <v>1.7430537346353836E-3</v>
      </c>
      <c r="Q15" s="14">
        <v>2.5717562243923061E-5</v>
      </c>
    </row>
    <row r="16" spans="1:17" x14ac:dyDescent="0.25">
      <c r="C16" s="5"/>
      <c r="D16" s="9"/>
      <c r="E16" s="9"/>
      <c r="F16" s="9"/>
      <c r="G16" s="9"/>
      <c r="L16" s="9"/>
      <c r="M16" s="9">
        <v>1.2999999999999999E-2</v>
      </c>
      <c r="N16" s="14">
        <v>2.0000000000000001E-4</v>
      </c>
      <c r="O16" s="9"/>
      <c r="P16" s="14">
        <v>5.1353225984139472E-3</v>
      </c>
      <c r="Q16" s="14">
        <v>9.4553296473467942E-5</v>
      </c>
    </row>
    <row r="17" spans="3:17" x14ac:dyDescent="0.25">
      <c r="C17" s="5"/>
      <c r="D17" s="9"/>
      <c r="E17" s="9"/>
      <c r="F17" s="9"/>
      <c r="G17" s="9"/>
      <c r="L17" s="9"/>
      <c r="M17" s="9">
        <v>1.7000000000000001E-2</v>
      </c>
      <c r="N17" s="14">
        <v>5.9999999999999995E-4</v>
      </c>
      <c r="O17" s="9"/>
      <c r="P17" s="14">
        <v>1.549511503093064E-2</v>
      </c>
      <c r="Q17" s="14">
        <v>5.0472783743756434E-4</v>
      </c>
    </row>
    <row r="18" spans="3:17" x14ac:dyDescent="0.25">
      <c r="C18" s="5"/>
      <c r="D18" s="9"/>
      <c r="E18" s="9"/>
      <c r="F18" s="9"/>
      <c r="G18" s="9"/>
      <c r="L18" s="9"/>
      <c r="M18" s="9">
        <v>3.5000000000000003E-2</v>
      </c>
      <c r="N18" s="14">
        <v>2E-3</v>
      </c>
      <c r="O18" s="9"/>
      <c r="P18" s="14">
        <v>3.1411404523808618E-2</v>
      </c>
      <c r="Q18" s="14">
        <v>1.951661602240811E-3</v>
      </c>
    </row>
    <row r="19" spans="3:17" x14ac:dyDescent="0.25">
      <c r="C19" s="5"/>
      <c r="D19" s="9"/>
      <c r="E19" s="9"/>
      <c r="F19" s="9"/>
      <c r="G19" s="9"/>
      <c r="L19" s="9"/>
      <c r="M19" s="9">
        <v>7.0999999999999994E-2</v>
      </c>
      <c r="N19" s="14">
        <v>9.0000000000000011E-3</v>
      </c>
      <c r="O19" s="9"/>
      <c r="P19" s="14">
        <v>9.7856382321017926E-2</v>
      </c>
      <c r="Q19" s="14">
        <v>1.0285052619285591E-2</v>
      </c>
    </row>
    <row r="20" spans="3:17" x14ac:dyDescent="0.25">
      <c r="C20" s="5"/>
      <c r="D20" s="9"/>
      <c r="E20" s="9"/>
      <c r="F20" s="9"/>
      <c r="G20" s="9"/>
      <c r="L20" s="46"/>
      <c r="M20" s="9">
        <v>0.113</v>
      </c>
      <c r="N20" s="14">
        <v>2.4E-2</v>
      </c>
      <c r="O20" s="9"/>
      <c r="P20" s="14">
        <v>0.34890035476410369</v>
      </c>
      <c r="Q20" s="14">
        <v>5.5718920951148547E-2</v>
      </c>
    </row>
    <row r="21" spans="3:17" x14ac:dyDescent="0.25">
      <c r="C21" s="5"/>
      <c r="D21" s="9"/>
      <c r="E21" s="9"/>
      <c r="F21" s="9"/>
      <c r="G21" s="9"/>
      <c r="L21" s="9"/>
      <c r="M21" s="9">
        <v>0.32</v>
      </c>
      <c r="N21" s="14">
        <v>0.10099999999999999</v>
      </c>
      <c r="O21" s="9"/>
      <c r="P21" s="14">
        <v>0.5</v>
      </c>
      <c r="Q21" s="14">
        <v>9.6960000000000005E-2</v>
      </c>
    </row>
    <row r="22" spans="3:17" x14ac:dyDescent="0.25">
      <c r="C22" s="5"/>
      <c r="D22" s="9"/>
      <c r="E22" s="9"/>
      <c r="F22" s="9"/>
      <c r="G22" s="9"/>
      <c r="L22" s="24"/>
    </row>
    <row r="23" spans="3:17" x14ac:dyDescent="0.25">
      <c r="C23" s="5"/>
      <c r="D23" s="9"/>
      <c r="E23" s="9"/>
      <c r="F23" s="9"/>
      <c r="G23" s="9"/>
      <c r="L23" s="20"/>
    </row>
    <row r="24" spans="3:17" x14ac:dyDescent="0.25">
      <c r="C24" s="5"/>
      <c r="D24" s="9"/>
      <c r="E24" s="9"/>
      <c r="F24" s="9"/>
      <c r="G24" s="9"/>
      <c r="L24" s="22"/>
    </row>
    <row r="25" spans="3:17" x14ac:dyDescent="0.25">
      <c r="C25" s="5"/>
      <c r="D25" s="9"/>
      <c r="E25" s="9"/>
      <c r="F25" s="9"/>
      <c r="G25" s="9"/>
    </row>
    <row r="26" spans="3:17" x14ac:dyDescent="0.25">
      <c r="C26" s="5"/>
      <c r="D26" s="9"/>
      <c r="E26" s="9"/>
      <c r="F26" s="9"/>
      <c r="G26" s="9"/>
    </row>
    <row r="27" spans="3:17" x14ac:dyDescent="0.25">
      <c r="C27" s="5"/>
      <c r="D27" s="9"/>
      <c r="E27" s="9"/>
      <c r="F27" s="9"/>
      <c r="G27" s="9"/>
    </row>
    <row r="28" spans="3:17" x14ac:dyDescent="0.25">
      <c r="C28" s="5"/>
      <c r="D28" s="9"/>
      <c r="E28" s="9"/>
      <c r="F28" s="9"/>
      <c r="G28" s="9"/>
    </row>
    <row r="29" spans="3:17" x14ac:dyDescent="0.25">
      <c r="C29" s="5"/>
    </row>
    <row r="30" spans="3:17" x14ac:dyDescent="0.25">
      <c r="C30" s="5"/>
    </row>
    <row r="31" spans="3:17" x14ac:dyDescent="0.25">
      <c r="C31" s="5"/>
    </row>
    <row r="32" spans="3:17" x14ac:dyDescent="0.25">
      <c r="C32" s="5"/>
    </row>
    <row r="33" spans="3:3" x14ac:dyDescent="0.25">
      <c r="C33" s="5"/>
    </row>
    <row r="34" spans="3:3" x14ac:dyDescent="0.25">
      <c r="C34" s="5"/>
    </row>
    <row r="35" spans="3:3" x14ac:dyDescent="0.25">
      <c r="C35" s="5"/>
    </row>
    <row r="36" spans="3:3" x14ac:dyDescent="0.25">
      <c r="C36" s="5"/>
    </row>
    <row r="37" spans="3:3" x14ac:dyDescent="0.25">
      <c r="C37" s="5"/>
    </row>
    <row r="38" spans="3:3" x14ac:dyDescent="0.25">
      <c r="C38" s="5"/>
    </row>
    <row r="39" spans="3:3" x14ac:dyDescent="0.25">
      <c r="C39" s="5"/>
    </row>
    <row r="40" spans="3:3" x14ac:dyDescent="0.25">
      <c r="C40" s="5"/>
    </row>
    <row r="41" spans="3:3" x14ac:dyDescent="0.25">
      <c r="C41" s="5"/>
    </row>
    <row r="42" spans="3:3" x14ac:dyDescent="0.25">
      <c r="C42" s="5"/>
    </row>
    <row r="43" spans="3:3" x14ac:dyDescent="0.25">
      <c r="C43" s="5"/>
    </row>
    <row r="44" spans="3:3" x14ac:dyDescent="0.25">
      <c r="C44" s="5"/>
    </row>
    <row r="45" spans="3:3" x14ac:dyDescent="0.25">
      <c r="C45" s="5"/>
    </row>
    <row r="46" spans="3:3" x14ac:dyDescent="0.25">
      <c r="C46" s="5"/>
    </row>
    <row r="47" spans="3:3" x14ac:dyDescent="0.25">
      <c r="C47" s="1"/>
    </row>
    <row r="48" spans="3:3" x14ac:dyDescent="0.25">
      <c r="C48" s="1"/>
    </row>
    <row r="49" spans="3:3" x14ac:dyDescent="0.25">
      <c r="C49" s="1"/>
    </row>
    <row r="50" spans="3:3" x14ac:dyDescent="0.25">
      <c r="C50" s="1"/>
    </row>
    <row r="51" spans="3:3" x14ac:dyDescent="0.25">
      <c r="C51" s="1"/>
    </row>
    <row r="52" spans="3:3" x14ac:dyDescent="0.25">
      <c r="C52" s="1"/>
    </row>
    <row r="53" spans="3:3" x14ac:dyDescent="0.25">
      <c r="C53" s="1"/>
    </row>
    <row r="54" spans="3:3" x14ac:dyDescent="0.25">
      <c r="C54" s="1"/>
    </row>
    <row r="55" spans="3:3" x14ac:dyDescent="0.25">
      <c r="C55" s="1"/>
    </row>
    <row r="56" spans="3:3" x14ac:dyDescent="0.25">
      <c r="C56" s="1"/>
    </row>
    <row r="57" spans="3:3" x14ac:dyDescent="0.25">
      <c r="C57" s="1"/>
    </row>
    <row r="58" spans="3:3" x14ac:dyDescent="0.25">
      <c r="C58" s="1"/>
    </row>
    <row r="59" spans="3:3" x14ac:dyDescent="0.25">
      <c r="C59" s="1"/>
    </row>
    <row r="60" spans="3:3" x14ac:dyDescent="0.25">
      <c r="C60" s="1"/>
    </row>
    <row r="61" spans="3:3" x14ac:dyDescent="0.25">
      <c r="C61" s="1"/>
    </row>
    <row r="62" spans="3:3" x14ac:dyDescent="0.25">
      <c r="C62" s="1"/>
    </row>
    <row r="63" spans="3:3" x14ac:dyDescent="0.25">
      <c r="C63" s="1"/>
    </row>
    <row r="64" spans="3:3" x14ac:dyDescent="0.25">
      <c r="C64" s="1"/>
    </row>
    <row r="65" spans="3:3" x14ac:dyDescent="0.25">
      <c r="C65" s="1"/>
    </row>
    <row r="66" spans="3:3" x14ac:dyDescent="0.25">
      <c r="C66" s="1"/>
    </row>
    <row r="67" spans="3:3" x14ac:dyDescent="0.25">
      <c r="C67" s="1"/>
    </row>
    <row r="68" spans="3:3" x14ac:dyDescent="0.25">
      <c r="C68" s="1"/>
    </row>
    <row r="69" spans="3:3" x14ac:dyDescent="0.25">
      <c r="C69" s="1"/>
    </row>
    <row r="70" spans="3:3" x14ac:dyDescent="0.25">
      <c r="C70" s="1"/>
    </row>
    <row r="71" spans="3:3" x14ac:dyDescent="0.25">
      <c r="C71" s="1"/>
    </row>
    <row r="72" spans="3:3" x14ac:dyDescent="0.25">
      <c r="C72" s="1"/>
    </row>
    <row r="73" spans="3:3" x14ac:dyDescent="0.25">
      <c r="C73" s="1"/>
    </row>
    <row r="74" spans="3:3" x14ac:dyDescent="0.25">
      <c r="C74" s="1"/>
    </row>
    <row r="75" spans="3:3" x14ac:dyDescent="0.25">
      <c r="C75" s="1"/>
    </row>
    <row r="76" spans="3:3" x14ac:dyDescent="0.25">
      <c r="C76" s="1"/>
    </row>
    <row r="77" spans="3:3" x14ac:dyDescent="0.25">
      <c r="C77" s="1"/>
    </row>
    <row r="78" spans="3:3" x14ac:dyDescent="0.25">
      <c r="C78" s="1"/>
    </row>
    <row r="79" spans="3:3" x14ac:dyDescent="0.25">
      <c r="C79" s="1"/>
    </row>
    <row r="80" spans="3:3" x14ac:dyDescent="0.25">
      <c r="C80" s="1"/>
    </row>
    <row r="81" spans="3:3" x14ac:dyDescent="0.25">
      <c r="C81" s="1"/>
    </row>
    <row r="82" spans="3:3" x14ac:dyDescent="0.25">
      <c r="C82" s="1"/>
    </row>
    <row r="83" spans="3:3" x14ac:dyDescent="0.25">
      <c r="C83" s="1"/>
    </row>
    <row r="84" spans="3:3" x14ac:dyDescent="0.25">
      <c r="C84" s="1"/>
    </row>
    <row r="85" spans="3:3" x14ac:dyDescent="0.25">
      <c r="C85" s="1"/>
    </row>
    <row r="86" spans="3:3" x14ac:dyDescent="0.25">
      <c r="C86" s="1"/>
    </row>
    <row r="87" spans="3:3" x14ac:dyDescent="0.25">
      <c r="C87" s="1"/>
    </row>
    <row r="88" spans="3:3" x14ac:dyDescent="0.25">
      <c r="C88" s="1"/>
    </row>
    <row r="89" spans="3:3" x14ac:dyDescent="0.25">
      <c r="C89" s="1"/>
    </row>
    <row r="90" spans="3:3" x14ac:dyDescent="0.25">
      <c r="C90" s="1"/>
    </row>
    <row r="91" spans="3:3" x14ac:dyDescent="0.25">
      <c r="C91" s="1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F5B38-2C24-4BEF-8047-6313D8F54766}">
  <sheetPr codeName="Feuil14">
    <tabColor rgb="FFFFC000"/>
  </sheetPr>
  <dimension ref="A1:AE261"/>
  <sheetViews>
    <sheetView workbookViewId="0">
      <selection activeCell="C2" sqref="C2"/>
    </sheetView>
  </sheetViews>
  <sheetFormatPr baseColWidth="10" defaultColWidth="11" defaultRowHeight="15.75" x14ac:dyDescent="0.25"/>
  <sheetData>
    <row r="1" spans="1:31" x14ac:dyDescent="0.25">
      <c r="A1" s="6" t="s">
        <v>88</v>
      </c>
      <c r="C1" s="6" t="s">
        <v>15</v>
      </c>
      <c r="D1" s="6" t="s">
        <v>417</v>
      </c>
      <c r="E1" s="31" t="s">
        <v>52</v>
      </c>
      <c r="F1" s="31"/>
      <c r="G1" s="31"/>
      <c r="H1" s="31"/>
      <c r="I1" s="31"/>
      <c r="J1" s="31"/>
      <c r="K1" s="31"/>
      <c r="L1" s="31"/>
      <c r="M1" s="6"/>
      <c r="O1" s="31"/>
      <c r="P1" s="31"/>
      <c r="Q1" s="31"/>
      <c r="R1" s="31"/>
      <c r="S1" s="31"/>
      <c r="T1" s="31"/>
      <c r="U1" s="31"/>
      <c r="V1" s="31"/>
      <c r="W1" s="31"/>
      <c r="X1" s="31"/>
    </row>
    <row r="2" spans="1:31" x14ac:dyDescent="0.25">
      <c r="A2" s="15" t="s">
        <v>85</v>
      </c>
      <c r="C2">
        <v>2020</v>
      </c>
      <c r="D2">
        <v>1</v>
      </c>
      <c r="E2">
        <v>1</v>
      </c>
    </row>
    <row r="3" spans="1:31" x14ac:dyDescent="0.25">
      <c r="A3" s="6" t="s">
        <v>50</v>
      </c>
      <c r="C3">
        <v>2020</v>
      </c>
      <c r="D3">
        <v>2</v>
      </c>
      <c r="E3">
        <v>1</v>
      </c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</row>
    <row r="4" spans="1:31" x14ac:dyDescent="0.25">
      <c r="A4" t="s">
        <v>502</v>
      </c>
      <c r="C4">
        <v>2020</v>
      </c>
      <c r="D4">
        <v>3</v>
      </c>
      <c r="E4">
        <v>1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</row>
    <row r="5" spans="1:31" x14ac:dyDescent="0.25">
      <c r="C5">
        <v>2020</v>
      </c>
      <c r="D5">
        <v>4</v>
      </c>
      <c r="E5">
        <v>1</v>
      </c>
    </row>
    <row r="6" spans="1:31" x14ac:dyDescent="0.25">
      <c r="C6">
        <v>2020</v>
      </c>
      <c r="D6">
        <v>5</v>
      </c>
      <c r="E6">
        <v>1</v>
      </c>
    </row>
    <row r="7" spans="1:31" x14ac:dyDescent="0.25">
      <c r="C7">
        <v>2020</v>
      </c>
      <c r="D7">
        <v>6</v>
      </c>
      <c r="E7">
        <v>1</v>
      </c>
    </row>
    <row r="8" spans="1:31" x14ac:dyDescent="0.25">
      <c r="C8">
        <v>2020</v>
      </c>
      <c r="D8">
        <v>7</v>
      </c>
      <c r="E8">
        <v>1</v>
      </c>
    </row>
    <row r="9" spans="1:31" x14ac:dyDescent="0.25">
      <c r="C9">
        <v>2020</v>
      </c>
      <c r="D9">
        <v>8</v>
      </c>
      <c r="E9">
        <v>1</v>
      </c>
    </row>
    <row r="10" spans="1:31" x14ac:dyDescent="0.25">
      <c r="C10">
        <v>2020</v>
      </c>
      <c r="D10">
        <v>9</v>
      </c>
      <c r="E10">
        <v>1</v>
      </c>
    </row>
    <row r="11" spans="1:31" x14ac:dyDescent="0.25">
      <c r="C11">
        <v>2020</v>
      </c>
      <c r="D11">
        <v>10</v>
      </c>
      <c r="E11">
        <v>1</v>
      </c>
    </row>
    <row r="12" spans="1:31" x14ac:dyDescent="0.25">
      <c r="C12">
        <v>2020</v>
      </c>
      <c r="D12">
        <v>11</v>
      </c>
      <c r="E12">
        <v>1</v>
      </c>
    </row>
    <row r="13" spans="1:31" x14ac:dyDescent="0.25">
      <c r="C13">
        <v>2020</v>
      </c>
      <c r="D13">
        <v>12</v>
      </c>
      <c r="E13">
        <v>1</v>
      </c>
    </row>
    <row r="14" spans="1:31" x14ac:dyDescent="0.25">
      <c r="C14">
        <v>2020</v>
      </c>
      <c r="D14">
        <v>13</v>
      </c>
      <c r="E14">
        <v>1</v>
      </c>
    </row>
    <row r="15" spans="1:31" x14ac:dyDescent="0.25">
      <c r="C15">
        <v>2020</v>
      </c>
      <c r="D15">
        <v>14</v>
      </c>
      <c r="E15">
        <v>1</v>
      </c>
    </row>
    <row r="16" spans="1:31" x14ac:dyDescent="0.25">
      <c r="C16">
        <v>2020</v>
      </c>
      <c r="D16">
        <v>15</v>
      </c>
      <c r="E16">
        <v>1</v>
      </c>
    </row>
    <row r="17" spans="3:5" x14ac:dyDescent="0.25">
      <c r="C17">
        <v>2020</v>
      </c>
      <c r="D17">
        <v>16</v>
      </c>
      <c r="E17">
        <v>1</v>
      </c>
    </row>
    <row r="18" spans="3:5" x14ac:dyDescent="0.25">
      <c r="C18">
        <v>2020</v>
      </c>
      <c r="D18">
        <v>17</v>
      </c>
      <c r="E18">
        <v>1</v>
      </c>
    </row>
    <row r="19" spans="3:5" x14ac:dyDescent="0.25">
      <c r="C19">
        <v>2020</v>
      </c>
      <c r="D19">
        <v>18</v>
      </c>
      <c r="E19">
        <v>1</v>
      </c>
    </row>
    <row r="20" spans="3:5" x14ac:dyDescent="0.25">
      <c r="C20">
        <v>2020</v>
      </c>
      <c r="D20">
        <v>19</v>
      </c>
      <c r="E20">
        <v>1</v>
      </c>
    </row>
    <row r="21" spans="3:5" x14ac:dyDescent="0.25">
      <c r="C21">
        <v>2020</v>
      </c>
      <c r="D21">
        <v>20</v>
      </c>
      <c r="E21">
        <v>1</v>
      </c>
    </row>
    <row r="22" spans="3:5" x14ac:dyDescent="0.25">
      <c r="C22">
        <v>2020</v>
      </c>
      <c r="D22">
        <v>21</v>
      </c>
      <c r="E22">
        <v>1</v>
      </c>
    </row>
    <row r="23" spans="3:5" x14ac:dyDescent="0.25">
      <c r="C23">
        <v>2020</v>
      </c>
      <c r="D23">
        <v>22</v>
      </c>
      <c r="E23">
        <v>1</v>
      </c>
    </row>
    <row r="24" spans="3:5" x14ac:dyDescent="0.25">
      <c r="C24">
        <v>2020</v>
      </c>
      <c r="D24">
        <v>23</v>
      </c>
      <c r="E24">
        <v>1</v>
      </c>
    </row>
    <row r="25" spans="3:5" x14ac:dyDescent="0.25">
      <c r="C25">
        <v>2020</v>
      </c>
      <c r="D25">
        <v>24</v>
      </c>
      <c r="E25">
        <v>1</v>
      </c>
    </row>
    <row r="26" spans="3:5" x14ac:dyDescent="0.25">
      <c r="C26">
        <v>2020</v>
      </c>
      <c r="D26">
        <v>25</v>
      </c>
      <c r="E26">
        <v>1</v>
      </c>
    </row>
    <row r="27" spans="3:5" x14ac:dyDescent="0.25">
      <c r="C27">
        <v>2020</v>
      </c>
      <c r="D27">
        <v>26</v>
      </c>
      <c r="E27">
        <v>1</v>
      </c>
    </row>
    <row r="28" spans="3:5" x14ac:dyDescent="0.25">
      <c r="C28">
        <v>2020</v>
      </c>
      <c r="D28">
        <v>27</v>
      </c>
      <c r="E28">
        <v>1</v>
      </c>
    </row>
    <row r="29" spans="3:5" x14ac:dyDescent="0.25">
      <c r="C29">
        <v>2020</v>
      </c>
      <c r="D29">
        <v>28</v>
      </c>
      <c r="E29">
        <v>1</v>
      </c>
    </row>
    <row r="30" spans="3:5" x14ac:dyDescent="0.25">
      <c r="C30">
        <v>2020</v>
      </c>
      <c r="D30">
        <v>29</v>
      </c>
      <c r="E30">
        <v>1</v>
      </c>
    </row>
    <row r="31" spans="3:5" x14ac:dyDescent="0.25">
      <c r="C31">
        <v>2020</v>
      </c>
      <c r="D31">
        <v>30</v>
      </c>
      <c r="E31">
        <v>1</v>
      </c>
    </row>
    <row r="32" spans="3:5" x14ac:dyDescent="0.25">
      <c r="C32">
        <v>2020</v>
      </c>
      <c r="D32">
        <v>31</v>
      </c>
      <c r="E32">
        <v>1</v>
      </c>
    </row>
    <row r="33" spans="3:5" x14ac:dyDescent="0.25">
      <c r="C33">
        <v>2020</v>
      </c>
      <c r="D33">
        <v>32</v>
      </c>
      <c r="E33">
        <v>1</v>
      </c>
    </row>
    <row r="34" spans="3:5" x14ac:dyDescent="0.25">
      <c r="C34">
        <v>2020</v>
      </c>
      <c r="D34">
        <v>33</v>
      </c>
      <c r="E34">
        <v>1</v>
      </c>
    </row>
    <row r="35" spans="3:5" x14ac:dyDescent="0.25">
      <c r="C35">
        <v>2020</v>
      </c>
      <c r="D35">
        <v>34</v>
      </c>
      <c r="E35">
        <v>1</v>
      </c>
    </row>
    <row r="36" spans="3:5" x14ac:dyDescent="0.25">
      <c r="C36">
        <v>2020</v>
      </c>
      <c r="D36">
        <v>35</v>
      </c>
      <c r="E36">
        <v>1</v>
      </c>
    </row>
    <row r="37" spans="3:5" x14ac:dyDescent="0.25">
      <c r="C37">
        <v>2020</v>
      </c>
      <c r="D37">
        <v>36</v>
      </c>
      <c r="E37">
        <v>1</v>
      </c>
    </row>
    <row r="38" spans="3:5" x14ac:dyDescent="0.25">
      <c r="C38">
        <v>2020</v>
      </c>
      <c r="D38">
        <v>37</v>
      </c>
      <c r="E38">
        <v>1</v>
      </c>
    </row>
    <row r="39" spans="3:5" x14ac:dyDescent="0.25">
      <c r="C39">
        <v>2020</v>
      </c>
      <c r="D39">
        <v>38</v>
      </c>
      <c r="E39">
        <v>1</v>
      </c>
    </row>
    <row r="40" spans="3:5" x14ac:dyDescent="0.25">
      <c r="C40">
        <v>2020</v>
      </c>
      <c r="D40">
        <v>39</v>
      </c>
      <c r="E40">
        <v>1</v>
      </c>
    </row>
    <row r="41" spans="3:5" x14ac:dyDescent="0.25">
      <c r="C41">
        <v>2020</v>
      </c>
      <c r="D41">
        <v>40</v>
      </c>
      <c r="E41">
        <v>1</v>
      </c>
    </row>
    <row r="42" spans="3:5" x14ac:dyDescent="0.25">
      <c r="C42">
        <v>2020</v>
      </c>
      <c r="D42">
        <v>41</v>
      </c>
      <c r="E42">
        <v>1</v>
      </c>
    </row>
    <row r="43" spans="3:5" x14ac:dyDescent="0.25">
      <c r="C43">
        <v>2020</v>
      </c>
      <c r="D43">
        <v>42</v>
      </c>
      <c r="E43">
        <v>1</v>
      </c>
    </row>
    <row r="44" spans="3:5" x14ac:dyDescent="0.25">
      <c r="C44">
        <v>2020</v>
      </c>
      <c r="D44">
        <v>43</v>
      </c>
      <c r="E44">
        <v>1</v>
      </c>
    </row>
    <row r="45" spans="3:5" x14ac:dyDescent="0.25">
      <c r="C45">
        <v>2020</v>
      </c>
      <c r="D45">
        <v>44</v>
      </c>
      <c r="E45">
        <v>1</v>
      </c>
    </row>
    <row r="46" spans="3:5" x14ac:dyDescent="0.25">
      <c r="C46">
        <v>2020</v>
      </c>
      <c r="D46">
        <v>45</v>
      </c>
      <c r="E46">
        <v>1</v>
      </c>
    </row>
    <row r="47" spans="3:5" x14ac:dyDescent="0.25">
      <c r="C47">
        <v>2020</v>
      </c>
      <c r="D47">
        <v>46</v>
      </c>
      <c r="E47">
        <v>1</v>
      </c>
    </row>
    <row r="48" spans="3:5" x14ac:dyDescent="0.25">
      <c r="C48">
        <v>2020</v>
      </c>
      <c r="D48">
        <v>47</v>
      </c>
      <c r="E48">
        <v>1</v>
      </c>
    </row>
    <row r="49" spans="3:5" x14ac:dyDescent="0.25">
      <c r="C49">
        <v>2020</v>
      </c>
      <c r="D49">
        <v>48</v>
      </c>
      <c r="E49">
        <v>1</v>
      </c>
    </row>
    <row r="50" spans="3:5" x14ac:dyDescent="0.25">
      <c r="C50">
        <v>2020</v>
      </c>
      <c r="D50">
        <v>49</v>
      </c>
      <c r="E50">
        <v>1</v>
      </c>
    </row>
    <row r="51" spans="3:5" x14ac:dyDescent="0.25">
      <c r="C51">
        <v>2020</v>
      </c>
      <c r="D51">
        <v>50</v>
      </c>
      <c r="E51">
        <v>1</v>
      </c>
    </row>
    <row r="52" spans="3:5" x14ac:dyDescent="0.25">
      <c r="C52">
        <v>2020</v>
      </c>
      <c r="D52">
        <v>51</v>
      </c>
      <c r="E52">
        <v>1</v>
      </c>
    </row>
    <row r="53" spans="3:5" x14ac:dyDescent="0.25">
      <c r="C53">
        <v>2020</v>
      </c>
      <c r="D53">
        <v>52</v>
      </c>
      <c r="E53">
        <v>1</v>
      </c>
    </row>
    <row r="54" spans="3:5" x14ac:dyDescent="0.25">
      <c r="C54">
        <f>+C53+1</f>
        <v>2021</v>
      </c>
      <c r="D54">
        <f>+D2</f>
        <v>1</v>
      </c>
      <c r="E54">
        <v>1</v>
      </c>
    </row>
    <row r="55" spans="3:5" x14ac:dyDescent="0.25">
      <c r="C55">
        <f>+C54</f>
        <v>2021</v>
      </c>
      <c r="D55">
        <f t="shared" ref="D55:D105" si="0">+D3</f>
        <v>2</v>
      </c>
      <c r="E55">
        <v>1</v>
      </c>
    </row>
    <row r="56" spans="3:5" x14ac:dyDescent="0.25">
      <c r="C56">
        <v>2021</v>
      </c>
      <c r="D56">
        <f t="shared" si="0"/>
        <v>3</v>
      </c>
      <c r="E56">
        <v>1</v>
      </c>
    </row>
    <row r="57" spans="3:5" x14ac:dyDescent="0.25">
      <c r="C57">
        <v>2021</v>
      </c>
      <c r="D57">
        <f t="shared" si="0"/>
        <v>4</v>
      </c>
      <c r="E57">
        <v>1</v>
      </c>
    </row>
    <row r="58" spans="3:5" x14ac:dyDescent="0.25">
      <c r="C58">
        <v>2021</v>
      </c>
      <c r="D58">
        <f t="shared" si="0"/>
        <v>5</v>
      </c>
      <c r="E58">
        <v>1</v>
      </c>
    </row>
    <row r="59" spans="3:5" x14ac:dyDescent="0.25">
      <c r="C59">
        <v>2021</v>
      </c>
      <c r="D59">
        <f t="shared" si="0"/>
        <v>6</v>
      </c>
      <c r="E59">
        <v>1</v>
      </c>
    </row>
    <row r="60" spans="3:5" x14ac:dyDescent="0.25">
      <c r="C60">
        <v>2021</v>
      </c>
      <c r="D60">
        <f t="shared" si="0"/>
        <v>7</v>
      </c>
      <c r="E60">
        <v>1</v>
      </c>
    </row>
    <row r="61" spans="3:5" x14ac:dyDescent="0.25">
      <c r="C61">
        <v>2021</v>
      </c>
      <c r="D61">
        <f t="shared" si="0"/>
        <v>8</v>
      </c>
      <c r="E61">
        <v>1</v>
      </c>
    </row>
    <row r="62" spans="3:5" x14ac:dyDescent="0.25">
      <c r="C62">
        <v>2021</v>
      </c>
      <c r="D62">
        <f t="shared" si="0"/>
        <v>9</v>
      </c>
      <c r="E62">
        <v>1</v>
      </c>
    </row>
    <row r="63" spans="3:5" x14ac:dyDescent="0.25">
      <c r="C63">
        <v>2021</v>
      </c>
      <c r="D63">
        <f t="shared" si="0"/>
        <v>10</v>
      </c>
      <c r="E63">
        <v>1</v>
      </c>
    </row>
    <row r="64" spans="3:5" x14ac:dyDescent="0.25">
      <c r="C64">
        <v>2021</v>
      </c>
      <c r="D64">
        <f t="shared" si="0"/>
        <v>11</v>
      </c>
      <c r="E64">
        <v>1</v>
      </c>
    </row>
    <row r="65" spans="3:5" x14ac:dyDescent="0.25">
      <c r="C65">
        <v>2021</v>
      </c>
      <c r="D65">
        <f t="shared" si="0"/>
        <v>12</v>
      </c>
      <c r="E65">
        <v>1</v>
      </c>
    </row>
    <row r="66" spans="3:5" x14ac:dyDescent="0.25">
      <c r="C66">
        <v>2021</v>
      </c>
      <c r="D66">
        <f t="shared" si="0"/>
        <v>13</v>
      </c>
      <c r="E66">
        <v>1</v>
      </c>
    </row>
    <row r="67" spans="3:5" x14ac:dyDescent="0.25">
      <c r="C67">
        <v>2021</v>
      </c>
      <c r="D67">
        <f t="shared" si="0"/>
        <v>14</v>
      </c>
      <c r="E67">
        <v>1</v>
      </c>
    </row>
    <row r="68" spans="3:5" x14ac:dyDescent="0.25">
      <c r="C68">
        <v>2021</v>
      </c>
      <c r="D68">
        <f t="shared" si="0"/>
        <v>15</v>
      </c>
      <c r="E68">
        <v>1</v>
      </c>
    </row>
    <row r="69" spans="3:5" x14ac:dyDescent="0.25">
      <c r="C69">
        <v>2021</v>
      </c>
      <c r="D69">
        <f t="shared" si="0"/>
        <v>16</v>
      </c>
      <c r="E69">
        <v>1</v>
      </c>
    </row>
    <row r="70" spans="3:5" x14ac:dyDescent="0.25">
      <c r="C70">
        <v>2021</v>
      </c>
      <c r="D70">
        <f t="shared" si="0"/>
        <v>17</v>
      </c>
      <c r="E70">
        <v>1</v>
      </c>
    </row>
    <row r="71" spans="3:5" x14ac:dyDescent="0.25">
      <c r="C71">
        <v>2021</v>
      </c>
      <c r="D71">
        <f t="shared" si="0"/>
        <v>18</v>
      </c>
      <c r="E71">
        <v>1</v>
      </c>
    </row>
    <row r="72" spans="3:5" x14ac:dyDescent="0.25">
      <c r="C72">
        <v>2021</v>
      </c>
      <c r="D72">
        <f t="shared" si="0"/>
        <v>19</v>
      </c>
      <c r="E72">
        <v>1</v>
      </c>
    </row>
    <row r="73" spans="3:5" x14ac:dyDescent="0.25">
      <c r="C73">
        <v>2021</v>
      </c>
      <c r="D73">
        <f t="shared" si="0"/>
        <v>20</v>
      </c>
      <c r="E73">
        <v>1</v>
      </c>
    </row>
    <row r="74" spans="3:5" x14ac:dyDescent="0.25">
      <c r="C74">
        <v>2021</v>
      </c>
      <c r="D74">
        <f t="shared" si="0"/>
        <v>21</v>
      </c>
      <c r="E74">
        <v>1</v>
      </c>
    </row>
    <row r="75" spans="3:5" x14ac:dyDescent="0.25">
      <c r="C75">
        <v>2021</v>
      </c>
      <c r="D75">
        <f t="shared" si="0"/>
        <v>22</v>
      </c>
      <c r="E75">
        <v>1</v>
      </c>
    </row>
    <row r="76" spans="3:5" x14ac:dyDescent="0.25">
      <c r="C76">
        <v>2021</v>
      </c>
      <c r="D76">
        <f t="shared" si="0"/>
        <v>23</v>
      </c>
      <c r="E76">
        <v>1</v>
      </c>
    </row>
    <row r="77" spans="3:5" x14ac:dyDescent="0.25">
      <c r="C77">
        <v>2021</v>
      </c>
      <c r="D77">
        <f t="shared" si="0"/>
        <v>24</v>
      </c>
      <c r="E77">
        <v>1</v>
      </c>
    </row>
    <row r="78" spans="3:5" x14ac:dyDescent="0.25">
      <c r="C78">
        <v>2021</v>
      </c>
      <c r="D78">
        <f t="shared" si="0"/>
        <v>25</v>
      </c>
      <c r="E78">
        <v>1</v>
      </c>
    </row>
    <row r="79" spans="3:5" x14ac:dyDescent="0.25">
      <c r="C79">
        <v>2021</v>
      </c>
      <c r="D79">
        <f t="shared" si="0"/>
        <v>26</v>
      </c>
      <c r="E79">
        <v>1</v>
      </c>
    </row>
    <row r="80" spans="3:5" x14ac:dyDescent="0.25">
      <c r="C80">
        <v>2021</v>
      </c>
      <c r="D80">
        <f t="shared" si="0"/>
        <v>27</v>
      </c>
      <c r="E80">
        <v>1</v>
      </c>
    </row>
    <row r="81" spans="3:5" x14ac:dyDescent="0.25">
      <c r="C81">
        <v>2021</v>
      </c>
      <c r="D81">
        <f t="shared" si="0"/>
        <v>28</v>
      </c>
      <c r="E81">
        <v>1</v>
      </c>
    </row>
    <row r="82" spans="3:5" x14ac:dyDescent="0.25">
      <c r="C82">
        <v>2021</v>
      </c>
      <c r="D82">
        <f t="shared" si="0"/>
        <v>29</v>
      </c>
      <c r="E82">
        <v>1</v>
      </c>
    </row>
    <row r="83" spans="3:5" x14ac:dyDescent="0.25">
      <c r="C83">
        <v>2021</v>
      </c>
      <c r="D83">
        <f t="shared" si="0"/>
        <v>30</v>
      </c>
      <c r="E83">
        <v>1</v>
      </c>
    </row>
    <row r="84" spans="3:5" x14ac:dyDescent="0.25">
      <c r="C84">
        <v>2021</v>
      </c>
      <c r="D84">
        <f t="shared" si="0"/>
        <v>31</v>
      </c>
      <c r="E84">
        <v>1</v>
      </c>
    </row>
    <row r="85" spans="3:5" x14ac:dyDescent="0.25">
      <c r="C85">
        <v>2021</v>
      </c>
      <c r="D85">
        <f t="shared" si="0"/>
        <v>32</v>
      </c>
      <c r="E85">
        <v>1</v>
      </c>
    </row>
    <row r="86" spans="3:5" x14ac:dyDescent="0.25">
      <c r="C86">
        <v>2021</v>
      </c>
      <c r="D86">
        <f t="shared" si="0"/>
        <v>33</v>
      </c>
      <c r="E86">
        <v>1</v>
      </c>
    </row>
    <row r="87" spans="3:5" x14ac:dyDescent="0.25">
      <c r="C87">
        <v>2021</v>
      </c>
      <c r="D87">
        <f t="shared" si="0"/>
        <v>34</v>
      </c>
      <c r="E87">
        <v>1</v>
      </c>
    </row>
    <row r="88" spans="3:5" x14ac:dyDescent="0.25">
      <c r="C88">
        <v>2021</v>
      </c>
      <c r="D88">
        <f t="shared" si="0"/>
        <v>35</v>
      </c>
      <c r="E88">
        <v>1</v>
      </c>
    </row>
    <row r="89" spans="3:5" x14ac:dyDescent="0.25">
      <c r="C89">
        <v>2021</v>
      </c>
      <c r="D89">
        <f t="shared" si="0"/>
        <v>36</v>
      </c>
      <c r="E89">
        <v>1</v>
      </c>
    </row>
    <row r="90" spans="3:5" x14ac:dyDescent="0.25">
      <c r="C90">
        <v>2021</v>
      </c>
      <c r="D90">
        <f t="shared" si="0"/>
        <v>37</v>
      </c>
      <c r="E90">
        <v>1</v>
      </c>
    </row>
    <row r="91" spans="3:5" x14ac:dyDescent="0.25">
      <c r="C91">
        <v>2021</v>
      </c>
      <c r="D91">
        <f t="shared" si="0"/>
        <v>38</v>
      </c>
      <c r="E91">
        <v>1</v>
      </c>
    </row>
    <row r="92" spans="3:5" x14ac:dyDescent="0.25">
      <c r="C92">
        <v>2021</v>
      </c>
      <c r="D92">
        <f t="shared" si="0"/>
        <v>39</v>
      </c>
      <c r="E92">
        <v>1</v>
      </c>
    </row>
    <row r="93" spans="3:5" x14ac:dyDescent="0.25">
      <c r="C93">
        <v>2021</v>
      </c>
      <c r="D93">
        <f t="shared" si="0"/>
        <v>40</v>
      </c>
      <c r="E93">
        <v>1</v>
      </c>
    </row>
    <row r="94" spans="3:5" x14ac:dyDescent="0.25">
      <c r="C94">
        <v>2021</v>
      </c>
      <c r="D94">
        <f t="shared" si="0"/>
        <v>41</v>
      </c>
      <c r="E94">
        <v>1</v>
      </c>
    </row>
    <row r="95" spans="3:5" x14ac:dyDescent="0.25">
      <c r="C95">
        <v>2021</v>
      </c>
      <c r="D95">
        <f t="shared" si="0"/>
        <v>42</v>
      </c>
      <c r="E95">
        <v>1</v>
      </c>
    </row>
    <row r="96" spans="3:5" x14ac:dyDescent="0.25">
      <c r="C96">
        <v>2021</v>
      </c>
      <c r="D96">
        <f t="shared" si="0"/>
        <v>43</v>
      </c>
      <c r="E96">
        <v>1</v>
      </c>
    </row>
    <row r="97" spans="3:13" x14ac:dyDescent="0.25">
      <c r="C97">
        <v>2021</v>
      </c>
      <c r="D97">
        <f t="shared" si="0"/>
        <v>44</v>
      </c>
      <c r="E97">
        <v>1</v>
      </c>
    </row>
    <row r="98" spans="3:13" x14ac:dyDescent="0.25">
      <c r="C98">
        <v>2021</v>
      </c>
      <c r="D98">
        <f t="shared" si="0"/>
        <v>45</v>
      </c>
      <c r="E98">
        <v>1</v>
      </c>
    </row>
    <row r="99" spans="3:13" x14ac:dyDescent="0.25">
      <c r="C99">
        <v>2021</v>
      </c>
      <c r="D99">
        <f t="shared" si="0"/>
        <v>46</v>
      </c>
      <c r="E99">
        <v>1</v>
      </c>
    </row>
    <row r="100" spans="3:13" x14ac:dyDescent="0.25">
      <c r="C100">
        <v>2021</v>
      </c>
      <c r="D100">
        <f t="shared" si="0"/>
        <v>47</v>
      </c>
      <c r="E100">
        <v>1</v>
      </c>
    </row>
    <row r="101" spans="3:13" x14ac:dyDescent="0.25">
      <c r="C101">
        <v>2021</v>
      </c>
      <c r="D101">
        <f t="shared" si="0"/>
        <v>48</v>
      </c>
      <c r="E101">
        <v>1</v>
      </c>
    </row>
    <row r="102" spans="3:13" x14ac:dyDescent="0.25">
      <c r="C102">
        <v>2021</v>
      </c>
      <c r="D102">
        <f t="shared" si="0"/>
        <v>49</v>
      </c>
      <c r="E102">
        <v>1</v>
      </c>
    </row>
    <row r="103" spans="3:13" x14ac:dyDescent="0.25">
      <c r="C103">
        <v>2021</v>
      </c>
      <c r="D103">
        <f t="shared" si="0"/>
        <v>50</v>
      </c>
      <c r="E103">
        <v>1</v>
      </c>
    </row>
    <row r="104" spans="3:13" x14ac:dyDescent="0.25">
      <c r="C104">
        <v>2021</v>
      </c>
      <c r="D104">
        <f t="shared" si="0"/>
        <v>51</v>
      </c>
      <c r="E104">
        <v>1</v>
      </c>
    </row>
    <row r="105" spans="3:13" x14ac:dyDescent="0.25">
      <c r="C105">
        <v>2021</v>
      </c>
      <c r="D105">
        <f t="shared" si="0"/>
        <v>52</v>
      </c>
      <c r="E105">
        <v>1</v>
      </c>
    </row>
    <row r="106" spans="3:13" x14ac:dyDescent="0.25">
      <c r="C106">
        <f>+C105+1</f>
        <v>2022</v>
      </c>
      <c r="D106">
        <f>+D54</f>
        <v>1</v>
      </c>
      <c r="E106">
        <v>1</v>
      </c>
      <c r="M106" s="56"/>
    </row>
    <row r="107" spans="3:13" x14ac:dyDescent="0.25">
      <c r="C107">
        <f>+C106</f>
        <v>2022</v>
      </c>
      <c r="D107">
        <f t="shared" ref="D107:D170" si="1">+D55</f>
        <v>2</v>
      </c>
      <c r="E107">
        <v>1</v>
      </c>
      <c r="M107" s="56"/>
    </row>
    <row r="108" spans="3:13" x14ac:dyDescent="0.25">
      <c r="C108">
        <f t="shared" ref="C108:C157" si="2">+C107</f>
        <v>2022</v>
      </c>
      <c r="D108">
        <f t="shared" si="1"/>
        <v>3</v>
      </c>
      <c r="E108">
        <v>1</v>
      </c>
      <c r="M108" s="56"/>
    </row>
    <row r="109" spans="3:13" x14ac:dyDescent="0.25">
      <c r="C109">
        <f t="shared" si="2"/>
        <v>2022</v>
      </c>
      <c r="D109">
        <f t="shared" si="1"/>
        <v>4</v>
      </c>
      <c r="E109">
        <v>1</v>
      </c>
      <c r="M109" s="56"/>
    </row>
    <row r="110" spans="3:13" x14ac:dyDescent="0.25">
      <c r="C110">
        <f t="shared" si="2"/>
        <v>2022</v>
      </c>
      <c r="D110">
        <f t="shared" si="1"/>
        <v>5</v>
      </c>
      <c r="E110">
        <v>1</v>
      </c>
      <c r="M110" s="56"/>
    </row>
    <row r="111" spans="3:13" x14ac:dyDescent="0.25">
      <c r="C111">
        <f t="shared" si="2"/>
        <v>2022</v>
      </c>
      <c r="D111">
        <f t="shared" si="1"/>
        <v>6</v>
      </c>
      <c r="E111">
        <v>1</v>
      </c>
      <c r="M111" s="56"/>
    </row>
    <row r="112" spans="3:13" x14ac:dyDescent="0.25">
      <c r="C112">
        <f t="shared" si="2"/>
        <v>2022</v>
      </c>
      <c r="D112">
        <f t="shared" si="1"/>
        <v>7</v>
      </c>
      <c r="E112">
        <v>1</v>
      </c>
      <c r="M112" s="56"/>
    </row>
    <row r="113" spans="3:13" x14ac:dyDescent="0.25">
      <c r="C113">
        <f t="shared" si="2"/>
        <v>2022</v>
      </c>
      <c r="D113">
        <f t="shared" si="1"/>
        <v>8</v>
      </c>
      <c r="E113">
        <v>1</v>
      </c>
      <c r="M113" s="56"/>
    </row>
    <row r="114" spans="3:13" x14ac:dyDescent="0.25">
      <c r="C114">
        <f t="shared" si="2"/>
        <v>2022</v>
      </c>
      <c r="D114">
        <f t="shared" si="1"/>
        <v>9</v>
      </c>
      <c r="E114">
        <v>1</v>
      </c>
      <c r="M114" s="56"/>
    </row>
    <row r="115" spans="3:13" x14ac:dyDescent="0.25">
      <c r="C115">
        <f t="shared" si="2"/>
        <v>2022</v>
      </c>
      <c r="D115">
        <f t="shared" si="1"/>
        <v>10</v>
      </c>
      <c r="E115">
        <v>1</v>
      </c>
      <c r="M115" s="56"/>
    </row>
    <row r="116" spans="3:13" x14ac:dyDescent="0.25">
      <c r="C116">
        <f t="shared" si="2"/>
        <v>2022</v>
      </c>
      <c r="D116">
        <f t="shared" si="1"/>
        <v>11</v>
      </c>
      <c r="E116">
        <v>1</v>
      </c>
      <c r="M116" s="56"/>
    </row>
    <row r="117" spans="3:13" x14ac:dyDescent="0.25">
      <c r="C117">
        <f t="shared" si="2"/>
        <v>2022</v>
      </c>
      <c r="D117">
        <f t="shared" si="1"/>
        <v>12</v>
      </c>
      <c r="E117">
        <v>1</v>
      </c>
      <c r="M117" s="56"/>
    </row>
    <row r="118" spans="3:13" x14ac:dyDescent="0.25">
      <c r="C118">
        <f t="shared" si="2"/>
        <v>2022</v>
      </c>
      <c r="D118">
        <f t="shared" si="1"/>
        <v>13</v>
      </c>
      <c r="E118">
        <v>1</v>
      </c>
      <c r="M118" s="56"/>
    </row>
    <row r="119" spans="3:13" x14ac:dyDescent="0.25">
      <c r="C119">
        <f t="shared" si="2"/>
        <v>2022</v>
      </c>
      <c r="D119">
        <f t="shared" si="1"/>
        <v>14</v>
      </c>
      <c r="E119">
        <v>1</v>
      </c>
      <c r="M119" s="56"/>
    </row>
    <row r="120" spans="3:13" x14ac:dyDescent="0.25">
      <c r="C120">
        <f t="shared" si="2"/>
        <v>2022</v>
      </c>
      <c r="D120">
        <f t="shared" si="1"/>
        <v>15</v>
      </c>
      <c r="E120">
        <v>1</v>
      </c>
      <c r="M120" s="56"/>
    </row>
    <row r="121" spans="3:13" x14ac:dyDescent="0.25">
      <c r="C121">
        <f t="shared" si="2"/>
        <v>2022</v>
      </c>
      <c r="D121">
        <f t="shared" si="1"/>
        <v>16</v>
      </c>
      <c r="E121">
        <v>1</v>
      </c>
      <c r="M121" s="56"/>
    </row>
    <row r="122" spans="3:13" x14ac:dyDescent="0.25">
      <c r="C122">
        <f t="shared" si="2"/>
        <v>2022</v>
      </c>
      <c r="D122">
        <f t="shared" si="1"/>
        <v>17</v>
      </c>
      <c r="E122">
        <v>1</v>
      </c>
      <c r="M122" s="56"/>
    </row>
    <row r="123" spans="3:13" x14ac:dyDescent="0.25">
      <c r="C123">
        <f t="shared" si="2"/>
        <v>2022</v>
      </c>
      <c r="D123">
        <f t="shared" si="1"/>
        <v>18</v>
      </c>
      <c r="E123">
        <v>1</v>
      </c>
      <c r="M123" s="56"/>
    </row>
    <row r="124" spans="3:13" x14ac:dyDescent="0.25">
      <c r="C124">
        <f t="shared" si="2"/>
        <v>2022</v>
      </c>
      <c r="D124">
        <f t="shared" si="1"/>
        <v>19</v>
      </c>
      <c r="E124">
        <v>1</v>
      </c>
      <c r="M124" s="56"/>
    </row>
    <row r="125" spans="3:13" x14ac:dyDescent="0.25">
      <c r="C125">
        <f t="shared" si="2"/>
        <v>2022</v>
      </c>
      <c r="D125">
        <f t="shared" si="1"/>
        <v>20</v>
      </c>
      <c r="E125">
        <v>1</v>
      </c>
      <c r="M125" s="56"/>
    </row>
    <row r="126" spans="3:13" x14ac:dyDescent="0.25">
      <c r="C126">
        <f t="shared" si="2"/>
        <v>2022</v>
      </c>
      <c r="D126">
        <f t="shared" si="1"/>
        <v>21</v>
      </c>
      <c r="E126">
        <v>1</v>
      </c>
      <c r="M126" s="56"/>
    </row>
    <row r="127" spans="3:13" x14ac:dyDescent="0.25">
      <c r="C127">
        <f t="shared" si="2"/>
        <v>2022</v>
      </c>
      <c r="D127">
        <f t="shared" si="1"/>
        <v>22</v>
      </c>
      <c r="E127">
        <v>1</v>
      </c>
      <c r="M127" s="56"/>
    </row>
    <row r="128" spans="3:13" x14ac:dyDescent="0.25">
      <c r="C128">
        <f t="shared" si="2"/>
        <v>2022</v>
      </c>
      <c r="D128">
        <f t="shared" si="1"/>
        <v>23</v>
      </c>
      <c r="E128">
        <v>1</v>
      </c>
      <c r="M128" s="56"/>
    </row>
    <row r="129" spans="3:13" x14ac:dyDescent="0.25">
      <c r="C129">
        <f t="shared" si="2"/>
        <v>2022</v>
      </c>
      <c r="D129">
        <f t="shared" si="1"/>
        <v>24</v>
      </c>
      <c r="E129">
        <v>1</v>
      </c>
      <c r="M129" s="56"/>
    </row>
    <row r="130" spans="3:13" x14ac:dyDescent="0.25">
      <c r="C130">
        <f t="shared" si="2"/>
        <v>2022</v>
      </c>
      <c r="D130">
        <f t="shared" si="1"/>
        <v>25</v>
      </c>
      <c r="E130">
        <v>1</v>
      </c>
      <c r="M130" s="56"/>
    </row>
    <row r="131" spans="3:13" x14ac:dyDescent="0.25">
      <c r="C131">
        <f t="shared" si="2"/>
        <v>2022</v>
      </c>
      <c r="D131">
        <f t="shared" si="1"/>
        <v>26</v>
      </c>
      <c r="E131">
        <v>1</v>
      </c>
      <c r="M131" s="56"/>
    </row>
    <row r="132" spans="3:13" x14ac:dyDescent="0.25">
      <c r="C132">
        <f t="shared" si="2"/>
        <v>2022</v>
      </c>
      <c r="D132">
        <f t="shared" si="1"/>
        <v>27</v>
      </c>
      <c r="E132">
        <v>1</v>
      </c>
      <c r="M132" s="56"/>
    </row>
    <row r="133" spans="3:13" x14ac:dyDescent="0.25">
      <c r="C133">
        <f t="shared" si="2"/>
        <v>2022</v>
      </c>
      <c r="D133">
        <f t="shared" si="1"/>
        <v>28</v>
      </c>
      <c r="E133">
        <v>1</v>
      </c>
      <c r="M133" s="56"/>
    </row>
    <row r="134" spans="3:13" x14ac:dyDescent="0.25">
      <c r="C134">
        <f t="shared" si="2"/>
        <v>2022</v>
      </c>
      <c r="D134">
        <f t="shared" si="1"/>
        <v>29</v>
      </c>
      <c r="E134">
        <v>1</v>
      </c>
      <c r="M134" s="56"/>
    </row>
    <row r="135" spans="3:13" x14ac:dyDescent="0.25">
      <c r="C135">
        <f t="shared" si="2"/>
        <v>2022</v>
      </c>
      <c r="D135">
        <f t="shared" si="1"/>
        <v>30</v>
      </c>
      <c r="E135">
        <v>1</v>
      </c>
      <c r="M135" s="56"/>
    </row>
    <row r="136" spans="3:13" x14ac:dyDescent="0.25">
      <c r="C136">
        <f t="shared" si="2"/>
        <v>2022</v>
      </c>
      <c r="D136">
        <f t="shared" si="1"/>
        <v>31</v>
      </c>
      <c r="E136">
        <v>1</v>
      </c>
      <c r="M136" s="56"/>
    </row>
    <row r="137" spans="3:13" x14ac:dyDescent="0.25">
      <c r="C137">
        <f t="shared" si="2"/>
        <v>2022</v>
      </c>
      <c r="D137">
        <f t="shared" si="1"/>
        <v>32</v>
      </c>
      <c r="E137">
        <v>1</v>
      </c>
      <c r="M137" s="56"/>
    </row>
    <row r="138" spans="3:13" x14ac:dyDescent="0.25">
      <c r="C138">
        <f t="shared" si="2"/>
        <v>2022</v>
      </c>
      <c r="D138">
        <f t="shared" si="1"/>
        <v>33</v>
      </c>
      <c r="E138">
        <v>1</v>
      </c>
      <c r="M138" s="56"/>
    </row>
    <row r="139" spans="3:13" x14ac:dyDescent="0.25">
      <c r="C139">
        <f t="shared" si="2"/>
        <v>2022</v>
      </c>
      <c r="D139">
        <f t="shared" si="1"/>
        <v>34</v>
      </c>
      <c r="E139">
        <v>1</v>
      </c>
      <c r="M139" s="56"/>
    </row>
    <row r="140" spans="3:13" x14ac:dyDescent="0.25">
      <c r="C140">
        <f t="shared" si="2"/>
        <v>2022</v>
      </c>
      <c r="D140">
        <f t="shared" si="1"/>
        <v>35</v>
      </c>
      <c r="E140">
        <v>1</v>
      </c>
      <c r="M140" s="56"/>
    </row>
    <row r="141" spans="3:13" x14ac:dyDescent="0.25">
      <c r="C141">
        <f t="shared" si="2"/>
        <v>2022</v>
      </c>
      <c r="D141">
        <f t="shared" si="1"/>
        <v>36</v>
      </c>
      <c r="E141">
        <v>1</v>
      </c>
      <c r="M141" s="56"/>
    </row>
    <row r="142" spans="3:13" x14ac:dyDescent="0.25">
      <c r="C142">
        <f t="shared" si="2"/>
        <v>2022</v>
      </c>
      <c r="D142">
        <f t="shared" si="1"/>
        <v>37</v>
      </c>
      <c r="E142">
        <v>1</v>
      </c>
      <c r="M142" s="56"/>
    </row>
    <row r="143" spans="3:13" x14ac:dyDescent="0.25">
      <c r="C143">
        <f t="shared" si="2"/>
        <v>2022</v>
      </c>
      <c r="D143">
        <f t="shared" si="1"/>
        <v>38</v>
      </c>
      <c r="E143">
        <v>1</v>
      </c>
      <c r="M143" s="56"/>
    </row>
    <row r="144" spans="3:13" x14ac:dyDescent="0.25">
      <c r="C144">
        <f t="shared" si="2"/>
        <v>2022</v>
      </c>
      <c r="D144">
        <f t="shared" si="1"/>
        <v>39</v>
      </c>
      <c r="E144">
        <v>1</v>
      </c>
      <c r="M144" s="56"/>
    </row>
    <row r="145" spans="3:13" x14ac:dyDescent="0.25">
      <c r="C145">
        <f t="shared" si="2"/>
        <v>2022</v>
      </c>
      <c r="D145">
        <f t="shared" si="1"/>
        <v>40</v>
      </c>
      <c r="E145">
        <v>1</v>
      </c>
      <c r="M145" s="56"/>
    </row>
    <row r="146" spans="3:13" x14ac:dyDescent="0.25">
      <c r="C146">
        <f t="shared" si="2"/>
        <v>2022</v>
      </c>
      <c r="D146">
        <f t="shared" si="1"/>
        <v>41</v>
      </c>
      <c r="E146">
        <v>1</v>
      </c>
      <c r="M146" s="56"/>
    </row>
    <row r="147" spans="3:13" x14ac:dyDescent="0.25">
      <c r="C147">
        <f t="shared" si="2"/>
        <v>2022</v>
      </c>
      <c r="D147">
        <f t="shared" si="1"/>
        <v>42</v>
      </c>
      <c r="E147">
        <v>1</v>
      </c>
      <c r="M147" s="56"/>
    </row>
    <row r="148" spans="3:13" x14ac:dyDescent="0.25">
      <c r="C148">
        <f t="shared" si="2"/>
        <v>2022</v>
      </c>
      <c r="D148">
        <f t="shared" si="1"/>
        <v>43</v>
      </c>
      <c r="E148">
        <v>1</v>
      </c>
      <c r="M148" s="56"/>
    </row>
    <row r="149" spans="3:13" x14ac:dyDescent="0.25">
      <c r="C149">
        <f t="shared" si="2"/>
        <v>2022</v>
      </c>
      <c r="D149">
        <f t="shared" si="1"/>
        <v>44</v>
      </c>
      <c r="E149">
        <v>1</v>
      </c>
      <c r="M149" s="56"/>
    </row>
    <row r="150" spans="3:13" x14ac:dyDescent="0.25">
      <c r="C150">
        <f t="shared" si="2"/>
        <v>2022</v>
      </c>
      <c r="D150">
        <f t="shared" si="1"/>
        <v>45</v>
      </c>
      <c r="E150">
        <v>1</v>
      </c>
      <c r="M150" s="56"/>
    </row>
    <row r="151" spans="3:13" x14ac:dyDescent="0.25">
      <c r="C151">
        <f t="shared" si="2"/>
        <v>2022</v>
      </c>
      <c r="D151">
        <f t="shared" si="1"/>
        <v>46</v>
      </c>
      <c r="E151">
        <v>1</v>
      </c>
      <c r="M151" s="56"/>
    </row>
    <row r="152" spans="3:13" x14ac:dyDescent="0.25">
      <c r="C152">
        <f t="shared" si="2"/>
        <v>2022</v>
      </c>
      <c r="D152">
        <f t="shared" si="1"/>
        <v>47</v>
      </c>
      <c r="E152">
        <v>1</v>
      </c>
      <c r="M152" s="56"/>
    </row>
    <row r="153" spans="3:13" x14ac:dyDescent="0.25">
      <c r="C153">
        <f t="shared" si="2"/>
        <v>2022</v>
      </c>
      <c r="D153">
        <f t="shared" si="1"/>
        <v>48</v>
      </c>
      <c r="E153">
        <v>1</v>
      </c>
      <c r="M153" s="56"/>
    </row>
    <row r="154" spans="3:13" x14ac:dyDescent="0.25">
      <c r="C154">
        <f t="shared" si="2"/>
        <v>2022</v>
      </c>
      <c r="D154">
        <f t="shared" si="1"/>
        <v>49</v>
      </c>
      <c r="E154">
        <v>1</v>
      </c>
      <c r="M154" s="56"/>
    </row>
    <row r="155" spans="3:13" x14ac:dyDescent="0.25">
      <c r="C155">
        <f t="shared" si="2"/>
        <v>2022</v>
      </c>
      <c r="D155">
        <f t="shared" si="1"/>
        <v>50</v>
      </c>
      <c r="E155">
        <v>1</v>
      </c>
      <c r="M155" s="56"/>
    </row>
    <row r="156" spans="3:13" x14ac:dyDescent="0.25">
      <c r="C156">
        <f t="shared" si="2"/>
        <v>2022</v>
      </c>
      <c r="D156">
        <f t="shared" si="1"/>
        <v>51</v>
      </c>
      <c r="E156">
        <v>1</v>
      </c>
      <c r="M156" s="56"/>
    </row>
    <row r="157" spans="3:13" x14ac:dyDescent="0.25">
      <c r="C157">
        <f t="shared" si="2"/>
        <v>2022</v>
      </c>
      <c r="D157">
        <f t="shared" si="1"/>
        <v>52</v>
      </c>
      <c r="E157">
        <v>1</v>
      </c>
      <c r="M157" s="56"/>
    </row>
    <row r="158" spans="3:13" x14ac:dyDescent="0.25">
      <c r="C158">
        <f t="shared" ref="C158" si="3">+C157+1</f>
        <v>2023</v>
      </c>
      <c r="D158">
        <f t="shared" si="1"/>
        <v>1</v>
      </c>
      <c r="E158">
        <v>1</v>
      </c>
      <c r="M158" s="56"/>
    </row>
    <row r="159" spans="3:13" x14ac:dyDescent="0.25">
      <c r="C159">
        <f>+C158</f>
        <v>2023</v>
      </c>
      <c r="D159">
        <f t="shared" si="1"/>
        <v>2</v>
      </c>
      <c r="E159">
        <v>1</v>
      </c>
      <c r="M159" s="56"/>
    </row>
    <row r="160" spans="3:13" x14ac:dyDescent="0.25">
      <c r="C160">
        <f t="shared" ref="C160:C209" si="4">+C159</f>
        <v>2023</v>
      </c>
      <c r="D160">
        <f t="shared" si="1"/>
        <v>3</v>
      </c>
      <c r="E160">
        <v>1</v>
      </c>
      <c r="M160" s="56"/>
    </row>
    <row r="161" spans="3:13" x14ac:dyDescent="0.25">
      <c r="C161">
        <f t="shared" si="4"/>
        <v>2023</v>
      </c>
      <c r="D161">
        <f t="shared" si="1"/>
        <v>4</v>
      </c>
      <c r="E161">
        <v>1</v>
      </c>
      <c r="M161" s="56"/>
    </row>
    <row r="162" spans="3:13" x14ac:dyDescent="0.25">
      <c r="C162">
        <f t="shared" si="4"/>
        <v>2023</v>
      </c>
      <c r="D162">
        <f t="shared" si="1"/>
        <v>5</v>
      </c>
      <c r="E162">
        <v>1</v>
      </c>
      <c r="M162" s="56"/>
    </row>
    <row r="163" spans="3:13" x14ac:dyDescent="0.25">
      <c r="C163">
        <f t="shared" si="4"/>
        <v>2023</v>
      </c>
      <c r="D163">
        <f t="shared" si="1"/>
        <v>6</v>
      </c>
      <c r="E163">
        <v>1</v>
      </c>
      <c r="M163" s="56"/>
    </row>
    <row r="164" spans="3:13" x14ac:dyDescent="0.25">
      <c r="C164">
        <f t="shared" si="4"/>
        <v>2023</v>
      </c>
      <c r="D164">
        <f t="shared" si="1"/>
        <v>7</v>
      </c>
      <c r="E164">
        <v>1</v>
      </c>
      <c r="M164" s="56"/>
    </row>
    <row r="165" spans="3:13" x14ac:dyDescent="0.25">
      <c r="C165">
        <f t="shared" si="4"/>
        <v>2023</v>
      </c>
      <c r="D165">
        <f t="shared" si="1"/>
        <v>8</v>
      </c>
      <c r="E165">
        <v>1</v>
      </c>
      <c r="M165" s="56"/>
    </row>
    <row r="166" spans="3:13" x14ac:dyDescent="0.25">
      <c r="C166">
        <f t="shared" si="4"/>
        <v>2023</v>
      </c>
      <c r="D166">
        <f t="shared" si="1"/>
        <v>9</v>
      </c>
      <c r="E166">
        <v>1</v>
      </c>
      <c r="M166" s="56"/>
    </row>
    <row r="167" spans="3:13" x14ac:dyDescent="0.25">
      <c r="C167">
        <f t="shared" si="4"/>
        <v>2023</v>
      </c>
      <c r="D167">
        <f t="shared" si="1"/>
        <v>10</v>
      </c>
      <c r="E167">
        <v>1</v>
      </c>
      <c r="M167" s="56"/>
    </row>
    <row r="168" spans="3:13" x14ac:dyDescent="0.25">
      <c r="C168">
        <f t="shared" si="4"/>
        <v>2023</v>
      </c>
      <c r="D168">
        <f t="shared" si="1"/>
        <v>11</v>
      </c>
      <c r="E168">
        <v>1</v>
      </c>
      <c r="M168" s="56"/>
    </row>
    <row r="169" spans="3:13" x14ac:dyDescent="0.25">
      <c r="C169">
        <f t="shared" si="4"/>
        <v>2023</v>
      </c>
      <c r="D169">
        <f t="shared" si="1"/>
        <v>12</v>
      </c>
      <c r="E169">
        <v>1</v>
      </c>
      <c r="M169" s="56"/>
    </row>
    <row r="170" spans="3:13" x14ac:dyDescent="0.25">
      <c r="C170">
        <f t="shared" si="4"/>
        <v>2023</v>
      </c>
      <c r="D170">
        <f t="shared" si="1"/>
        <v>13</v>
      </c>
      <c r="E170">
        <v>1</v>
      </c>
      <c r="M170" s="56"/>
    </row>
    <row r="171" spans="3:13" x14ac:dyDescent="0.25">
      <c r="C171">
        <f t="shared" si="4"/>
        <v>2023</v>
      </c>
      <c r="D171">
        <f t="shared" ref="D171:D234" si="5">+D119</f>
        <v>14</v>
      </c>
      <c r="E171">
        <v>1</v>
      </c>
      <c r="M171" s="56"/>
    </row>
    <row r="172" spans="3:13" x14ac:dyDescent="0.25">
      <c r="C172">
        <f t="shared" si="4"/>
        <v>2023</v>
      </c>
      <c r="D172">
        <f t="shared" si="5"/>
        <v>15</v>
      </c>
      <c r="E172">
        <v>1</v>
      </c>
      <c r="M172" s="56"/>
    </row>
    <row r="173" spans="3:13" x14ac:dyDescent="0.25">
      <c r="C173">
        <f t="shared" si="4"/>
        <v>2023</v>
      </c>
      <c r="D173">
        <f t="shared" si="5"/>
        <v>16</v>
      </c>
      <c r="E173">
        <v>1</v>
      </c>
      <c r="M173" s="56"/>
    </row>
    <row r="174" spans="3:13" x14ac:dyDescent="0.25">
      <c r="C174">
        <f t="shared" si="4"/>
        <v>2023</v>
      </c>
      <c r="D174">
        <f t="shared" si="5"/>
        <v>17</v>
      </c>
      <c r="E174">
        <v>1</v>
      </c>
      <c r="M174" s="56"/>
    </row>
    <row r="175" spans="3:13" x14ac:dyDescent="0.25">
      <c r="C175">
        <f t="shared" si="4"/>
        <v>2023</v>
      </c>
      <c r="D175">
        <f t="shared" si="5"/>
        <v>18</v>
      </c>
      <c r="E175">
        <v>1</v>
      </c>
      <c r="M175" s="56"/>
    </row>
    <row r="176" spans="3:13" x14ac:dyDescent="0.25">
      <c r="C176">
        <f t="shared" si="4"/>
        <v>2023</v>
      </c>
      <c r="D176">
        <f t="shared" si="5"/>
        <v>19</v>
      </c>
      <c r="E176">
        <v>1</v>
      </c>
      <c r="M176" s="56"/>
    </row>
    <row r="177" spans="3:13" x14ac:dyDescent="0.25">
      <c r="C177">
        <f t="shared" si="4"/>
        <v>2023</v>
      </c>
      <c r="D177">
        <f t="shared" si="5"/>
        <v>20</v>
      </c>
      <c r="E177">
        <v>1</v>
      </c>
      <c r="M177" s="56"/>
    </row>
    <row r="178" spans="3:13" x14ac:dyDescent="0.25">
      <c r="C178">
        <f t="shared" si="4"/>
        <v>2023</v>
      </c>
      <c r="D178">
        <f t="shared" si="5"/>
        <v>21</v>
      </c>
      <c r="E178">
        <v>1</v>
      </c>
      <c r="M178" s="56"/>
    </row>
    <row r="179" spans="3:13" x14ac:dyDescent="0.25">
      <c r="C179">
        <f t="shared" si="4"/>
        <v>2023</v>
      </c>
      <c r="D179">
        <f t="shared" si="5"/>
        <v>22</v>
      </c>
      <c r="E179">
        <v>1</v>
      </c>
      <c r="M179" s="56"/>
    </row>
    <row r="180" spans="3:13" x14ac:dyDescent="0.25">
      <c r="C180">
        <f t="shared" si="4"/>
        <v>2023</v>
      </c>
      <c r="D180">
        <f t="shared" si="5"/>
        <v>23</v>
      </c>
      <c r="E180">
        <v>1</v>
      </c>
      <c r="M180" s="56"/>
    </row>
    <row r="181" spans="3:13" x14ac:dyDescent="0.25">
      <c r="C181">
        <f t="shared" si="4"/>
        <v>2023</v>
      </c>
      <c r="D181">
        <f t="shared" si="5"/>
        <v>24</v>
      </c>
      <c r="E181">
        <v>1</v>
      </c>
      <c r="M181" s="56"/>
    </row>
    <row r="182" spans="3:13" x14ac:dyDescent="0.25">
      <c r="C182">
        <f t="shared" si="4"/>
        <v>2023</v>
      </c>
      <c r="D182">
        <f t="shared" si="5"/>
        <v>25</v>
      </c>
      <c r="E182">
        <v>1</v>
      </c>
      <c r="M182" s="56"/>
    </row>
    <row r="183" spans="3:13" x14ac:dyDescent="0.25">
      <c r="C183">
        <f t="shared" si="4"/>
        <v>2023</v>
      </c>
      <c r="D183">
        <f t="shared" si="5"/>
        <v>26</v>
      </c>
      <c r="E183">
        <v>1</v>
      </c>
      <c r="M183" s="56"/>
    </row>
    <row r="184" spans="3:13" x14ac:dyDescent="0.25">
      <c r="C184">
        <f t="shared" si="4"/>
        <v>2023</v>
      </c>
      <c r="D184">
        <f t="shared" si="5"/>
        <v>27</v>
      </c>
      <c r="E184">
        <v>1</v>
      </c>
      <c r="M184" s="56"/>
    </row>
    <row r="185" spans="3:13" x14ac:dyDescent="0.25">
      <c r="C185">
        <f t="shared" si="4"/>
        <v>2023</v>
      </c>
      <c r="D185">
        <f t="shared" si="5"/>
        <v>28</v>
      </c>
      <c r="E185">
        <v>1</v>
      </c>
      <c r="M185" s="56"/>
    </row>
    <row r="186" spans="3:13" x14ac:dyDescent="0.25">
      <c r="C186">
        <f t="shared" si="4"/>
        <v>2023</v>
      </c>
      <c r="D186">
        <f t="shared" si="5"/>
        <v>29</v>
      </c>
      <c r="E186">
        <v>1</v>
      </c>
      <c r="M186" s="56"/>
    </row>
    <row r="187" spans="3:13" x14ac:dyDescent="0.25">
      <c r="C187">
        <f t="shared" si="4"/>
        <v>2023</v>
      </c>
      <c r="D187">
        <f t="shared" si="5"/>
        <v>30</v>
      </c>
      <c r="E187">
        <v>1</v>
      </c>
      <c r="M187" s="56"/>
    </row>
    <row r="188" spans="3:13" x14ac:dyDescent="0.25">
      <c r="C188">
        <f t="shared" si="4"/>
        <v>2023</v>
      </c>
      <c r="D188">
        <f t="shared" si="5"/>
        <v>31</v>
      </c>
      <c r="E188">
        <v>1</v>
      </c>
      <c r="M188" s="56"/>
    </row>
    <row r="189" spans="3:13" x14ac:dyDescent="0.25">
      <c r="C189">
        <f t="shared" si="4"/>
        <v>2023</v>
      </c>
      <c r="D189">
        <f t="shared" si="5"/>
        <v>32</v>
      </c>
      <c r="E189">
        <v>1</v>
      </c>
      <c r="M189" s="56"/>
    </row>
    <row r="190" spans="3:13" x14ac:dyDescent="0.25">
      <c r="C190">
        <f t="shared" si="4"/>
        <v>2023</v>
      </c>
      <c r="D190">
        <f t="shared" si="5"/>
        <v>33</v>
      </c>
      <c r="E190">
        <v>1</v>
      </c>
      <c r="M190" s="56"/>
    </row>
    <row r="191" spans="3:13" x14ac:dyDescent="0.25">
      <c r="C191">
        <f t="shared" si="4"/>
        <v>2023</v>
      </c>
      <c r="D191">
        <f t="shared" si="5"/>
        <v>34</v>
      </c>
      <c r="E191">
        <v>1</v>
      </c>
      <c r="M191" s="56"/>
    </row>
    <row r="192" spans="3:13" x14ac:dyDescent="0.25">
      <c r="C192">
        <f t="shared" si="4"/>
        <v>2023</v>
      </c>
      <c r="D192">
        <f t="shared" si="5"/>
        <v>35</v>
      </c>
      <c r="E192">
        <v>1</v>
      </c>
      <c r="M192" s="56"/>
    </row>
    <row r="193" spans="3:13" x14ac:dyDescent="0.25">
      <c r="C193">
        <f t="shared" si="4"/>
        <v>2023</v>
      </c>
      <c r="D193">
        <f t="shared" si="5"/>
        <v>36</v>
      </c>
      <c r="E193">
        <v>1</v>
      </c>
      <c r="M193" s="56"/>
    </row>
    <row r="194" spans="3:13" x14ac:dyDescent="0.25">
      <c r="C194">
        <f t="shared" si="4"/>
        <v>2023</v>
      </c>
      <c r="D194">
        <f t="shared" si="5"/>
        <v>37</v>
      </c>
      <c r="E194">
        <v>1</v>
      </c>
      <c r="M194" s="56"/>
    </row>
    <row r="195" spans="3:13" x14ac:dyDescent="0.25">
      <c r="C195">
        <f t="shared" si="4"/>
        <v>2023</v>
      </c>
      <c r="D195">
        <f t="shared" si="5"/>
        <v>38</v>
      </c>
      <c r="E195">
        <v>1</v>
      </c>
      <c r="M195" s="56"/>
    </row>
    <row r="196" spans="3:13" x14ac:dyDescent="0.25">
      <c r="C196">
        <f t="shared" si="4"/>
        <v>2023</v>
      </c>
      <c r="D196">
        <f t="shared" si="5"/>
        <v>39</v>
      </c>
      <c r="E196">
        <v>1</v>
      </c>
      <c r="M196" s="56"/>
    </row>
    <row r="197" spans="3:13" x14ac:dyDescent="0.25">
      <c r="C197">
        <f t="shared" si="4"/>
        <v>2023</v>
      </c>
      <c r="D197">
        <f t="shared" si="5"/>
        <v>40</v>
      </c>
      <c r="E197">
        <v>1</v>
      </c>
      <c r="M197" s="56"/>
    </row>
    <row r="198" spans="3:13" x14ac:dyDescent="0.25">
      <c r="C198">
        <f t="shared" si="4"/>
        <v>2023</v>
      </c>
      <c r="D198">
        <f t="shared" si="5"/>
        <v>41</v>
      </c>
      <c r="E198">
        <v>1</v>
      </c>
      <c r="M198" s="56"/>
    </row>
    <row r="199" spans="3:13" x14ac:dyDescent="0.25">
      <c r="C199">
        <f t="shared" si="4"/>
        <v>2023</v>
      </c>
      <c r="D199">
        <f t="shared" si="5"/>
        <v>42</v>
      </c>
      <c r="E199">
        <v>1</v>
      </c>
      <c r="M199" s="56"/>
    </row>
    <row r="200" spans="3:13" x14ac:dyDescent="0.25">
      <c r="C200">
        <f t="shared" si="4"/>
        <v>2023</v>
      </c>
      <c r="D200">
        <f t="shared" si="5"/>
        <v>43</v>
      </c>
      <c r="E200">
        <v>1</v>
      </c>
      <c r="M200" s="56"/>
    </row>
    <row r="201" spans="3:13" x14ac:dyDescent="0.25">
      <c r="C201">
        <f t="shared" si="4"/>
        <v>2023</v>
      </c>
      <c r="D201">
        <f t="shared" si="5"/>
        <v>44</v>
      </c>
      <c r="E201">
        <v>1</v>
      </c>
      <c r="M201" s="56"/>
    </row>
    <row r="202" spans="3:13" x14ac:dyDescent="0.25">
      <c r="C202">
        <f t="shared" si="4"/>
        <v>2023</v>
      </c>
      <c r="D202">
        <f t="shared" si="5"/>
        <v>45</v>
      </c>
      <c r="E202">
        <v>1</v>
      </c>
      <c r="M202" s="56"/>
    </row>
    <row r="203" spans="3:13" x14ac:dyDescent="0.25">
      <c r="C203">
        <f t="shared" si="4"/>
        <v>2023</v>
      </c>
      <c r="D203">
        <f t="shared" si="5"/>
        <v>46</v>
      </c>
      <c r="E203">
        <v>1</v>
      </c>
      <c r="M203" s="56"/>
    </row>
    <row r="204" spans="3:13" x14ac:dyDescent="0.25">
      <c r="C204">
        <f t="shared" si="4"/>
        <v>2023</v>
      </c>
      <c r="D204">
        <f t="shared" si="5"/>
        <v>47</v>
      </c>
      <c r="E204">
        <v>1</v>
      </c>
      <c r="M204" s="56"/>
    </row>
    <row r="205" spans="3:13" x14ac:dyDescent="0.25">
      <c r="C205">
        <f t="shared" si="4"/>
        <v>2023</v>
      </c>
      <c r="D205">
        <f t="shared" si="5"/>
        <v>48</v>
      </c>
      <c r="E205">
        <v>1</v>
      </c>
      <c r="M205" s="56"/>
    </row>
    <row r="206" spans="3:13" x14ac:dyDescent="0.25">
      <c r="C206">
        <f t="shared" si="4"/>
        <v>2023</v>
      </c>
      <c r="D206">
        <f t="shared" si="5"/>
        <v>49</v>
      </c>
      <c r="E206">
        <v>1</v>
      </c>
      <c r="M206" s="56"/>
    </row>
    <row r="207" spans="3:13" x14ac:dyDescent="0.25">
      <c r="C207">
        <f t="shared" si="4"/>
        <v>2023</v>
      </c>
      <c r="D207">
        <f t="shared" si="5"/>
        <v>50</v>
      </c>
      <c r="E207">
        <v>1</v>
      </c>
      <c r="M207" s="56"/>
    </row>
    <row r="208" spans="3:13" x14ac:dyDescent="0.25">
      <c r="C208">
        <f t="shared" si="4"/>
        <v>2023</v>
      </c>
      <c r="D208">
        <f t="shared" si="5"/>
        <v>51</v>
      </c>
      <c r="E208">
        <v>1</v>
      </c>
      <c r="M208" s="56"/>
    </row>
    <row r="209" spans="3:13" x14ac:dyDescent="0.25">
      <c r="C209">
        <f t="shared" si="4"/>
        <v>2023</v>
      </c>
      <c r="D209">
        <f t="shared" si="5"/>
        <v>52</v>
      </c>
      <c r="E209">
        <v>1</v>
      </c>
      <c r="M209" s="56"/>
    </row>
    <row r="210" spans="3:13" x14ac:dyDescent="0.25">
      <c r="C210">
        <f>+C209+1</f>
        <v>2024</v>
      </c>
      <c r="D210">
        <f t="shared" si="5"/>
        <v>1</v>
      </c>
      <c r="E210">
        <v>1</v>
      </c>
      <c r="M210" s="56"/>
    </row>
    <row r="211" spans="3:13" x14ac:dyDescent="0.25">
      <c r="C211">
        <f>+C210</f>
        <v>2024</v>
      </c>
      <c r="D211">
        <f t="shared" si="5"/>
        <v>2</v>
      </c>
      <c r="E211">
        <v>1</v>
      </c>
      <c r="M211" s="56"/>
    </row>
    <row r="212" spans="3:13" x14ac:dyDescent="0.25">
      <c r="C212">
        <f t="shared" ref="C212:C261" si="6">+C211</f>
        <v>2024</v>
      </c>
      <c r="D212">
        <f t="shared" si="5"/>
        <v>3</v>
      </c>
      <c r="E212">
        <v>1</v>
      </c>
      <c r="M212" s="56"/>
    </row>
    <row r="213" spans="3:13" x14ac:dyDescent="0.25">
      <c r="C213">
        <f t="shared" si="6"/>
        <v>2024</v>
      </c>
      <c r="D213">
        <f t="shared" si="5"/>
        <v>4</v>
      </c>
      <c r="E213">
        <v>1</v>
      </c>
      <c r="M213" s="56"/>
    </row>
    <row r="214" spans="3:13" x14ac:dyDescent="0.25">
      <c r="C214">
        <f t="shared" si="6"/>
        <v>2024</v>
      </c>
      <c r="D214">
        <f t="shared" si="5"/>
        <v>5</v>
      </c>
      <c r="E214">
        <v>1</v>
      </c>
      <c r="M214" s="56"/>
    </row>
    <row r="215" spans="3:13" x14ac:dyDescent="0.25">
      <c r="C215">
        <f t="shared" si="6"/>
        <v>2024</v>
      </c>
      <c r="D215">
        <f t="shared" si="5"/>
        <v>6</v>
      </c>
      <c r="E215">
        <v>1</v>
      </c>
      <c r="M215" s="56"/>
    </row>
    <row r="216" spans="3:13" x14ac:dyDescent="0.25">
      <c r="C216">
        <f t="shared" si="6"/>
        <v>2024</v>
      </c>
      <c r="D216">
        <f t="shared" si="5"/>
        <v>7</v>
      </c>
      <c r="E216">
        <v>1</v>
      </c>
      <c r="M216" s="56"/>
    </row>
    <row r="217" spans="3:13" x14ac:dyDescent="0.25">
      <c r="C217">
        <f t="shared" si="6"/>
        <v>2024</v>
      </c>
      <c r="D217">
        <f t="shared" si="5"/>
        <v>8</v>
      </c>
      <c r="E217">
        <v>1</v>
      </c>
      <c r="M217" s="56"/>
    </row>
    <row r="218" spans="3:13" x14ac:dyDescent="0.25">
      <c r="C218">
        <f t="shared" si="6"/>
        <v>2024</v>
      </c>
      <c r="D218">
        <f t="shared" si="5"/>
        <v>9</v>
      </c>
      <c r="E218">
        <v>1</v>
      </c>
      <c r="M218" s="56"/>
    </row>
    <row r="219" spans="3:13" x14ac:dyDescent="0.25">
      <c r="C219">
        <f t="shared" si="6"/>
        <v>2024</v>
      </c>
      <c r="D219">
        <f t="shared" si="5"/>
        <v>10</v>
      </c>
      <c r="E219">
        <v>1</v>
      </c>
      <c r="M219" s="56"/>
    </row>
    <row r="220" spans="3:13" x14ac:dyDescent="0.25">
      <c r="C220">
        <f t="shared" si="6"/>
        <v>2024</v>
      </c>
      <c r="D220">
        <f t="shared" si="5"/>
        <v>11</v>
      </c>
      <c r="E220">
        <v>1</v>
      </c>
      <c r="M220" s="56"/>
    </row>
    <row r="221" spans="3:13" x14ac:dyDescent="0.25">
      <c r="C221">
        <f t="shared" si="6"/>
        <v>2024</v>
      </c>
      <c r="D221">
        <f t="shared" si="5"/>
        <v>12</v>
      </c>
      <c r="E221">
        <v>1</v>
      </c>
      <c r="M221" s="56"/>
    </row>
    <row r="222" spans="3:13" x14ac:dyDescent="0.25">
      <c r="C222">
        <f t="shared" si="6"/>
        <v>2024</v>
      </c>
      <c r="D222">
        <f t="shared" si="5"/>
        <v>13</v>
      </c>
      <c r="E222">
        <v>1</v>
      </c>
      <c r="M222" s="56"/>
    </row>
    <row r="223" spans="3:13" x14ac:dyDescent="0.25">
      <c r="C223">
        <f t="shared" si="6"/>
        <v>2024</v>
      </c>
      <c r="D223">
        <f t="shared" si="5"/>
        <v>14</v>
      </c>
      <c r="E223">
        <v>1</v>
      </c>
      <c r="M223" s="56"/>
    </row>
    <row r="224" spans="3:13" x14ac:dyDescent="0.25">
      <c r="C224">
        <f t="shared" si="6"/>
        <v>2024</v>
      </c>
      <c r="D224">
        <f t="shared" si="5"/>
        <v>15</v>
      </c>
      <c r="E224">
        <v>1</v>
      </c>
      <c r="M224" s="56"/>
    </row>
    <row r="225" spans="3:13" x14ac:dyDescent="0.25">
      <c r="C225">
        <f t="shared" si="6"/>
        <v>2024</v>
      </c>
      <c r="D225">
        <f t="shared" si="5"/>
        <v>16</v>
      </c>
      <c r="E225">
        <v>1</v>
      </c>
      <c r="M225" s="56"/>
    </row>
    <row r="226" spans="3:13" x14ac:dyDescent="0.25">
      <c r="C226">
        <f t="shared" si="6"/>
        <v>2024</v>
      </c>
      <c r="D226">
        <f t="shared" si="5"/>
        <v>17</v>
      </c>
      <c r="E226">
        <v>1</v>
      </c>
      <c r="M226" s="56"/>
    </row>
    <row r="227" spans="3:13" x14ac:dyDescent="0.25">
      <c r="C227">
        <f t="shared" si="6"/>
        <v>2024</v>
      </c>
      <c r="D227">
        <f t="shared" si="5"/>
        <v>18</v>
      </c>
      <c r="E227">
        <v>1</v>
      </c>
      <c r="M227" s="56"/>
    </row>
    <row r="228" spans="3:13" x14ac:dyDescent="0.25">
      <c r="C228">
        <f t="shared" si="6"/>
        <v>2024</v>
      </c>
      <c r="D228">
        <f t="shared" si="5"/>
        <v>19</v>
      </c>
      <c r="E228">
        <v>1</v>
      </c>
      <c r="M228" s="56"/>
    </row>
    <row r="229" spans="3:13" x14ac:dyDescent="0.25">
      <c r="C229">
        <f t="shared" si="6"/>
        <v>2024</v>
      </c>
      <c r="D229">
        <f t="shared" si="5"/>
        <v>20</v>
      </c>
      <c r="E229">
        <v>1</v>
      </c>
      <c r="M229" s="56"/>
    </row>
    <row r="230" spans="3:13" x14ac:dyDescent="0.25">
      <c r="C230">
        <f t="shared" si="6"/>
        <v>2024</v>
      </c>
      <c r="D230">
        <f t="shared" si="5"/>
        <v>21</v>
      </c>
      <c r="E230">
        <v>1</v>
      </c>
      <c r="M230" s="56"/>
    </row>
    <row r="231" spans="3:13" x14ac:dyDescent="0.25">
      <c r="C231">
        <f t="shared" si="6"/>
        <v>2024</v>
      </c>
      <c r="D231">
        <f t="shared" si="5"/>
        <v>22</v>
      </c>
      <c r="E231">
        <v>1</v>
      </c>
      <c r="M231" s="56"/>
    </row>
    <row r="232" spans="3:13" x14ac:dyDescent="0.25">
      <c r="C232">
        <f t="shared" si="6"/>
        <v>2024</v>
      </c>
      <c r="D232">
        <f t="shared" si="5"/>
        <v>23</v>
      </c>
      <c r="E232">
        <v>1</v>
      </c>
      <c r="M232" s="56"/>
    </row>
    <row r="233" spans="3:13" x14ac:dyDescent="0.25">
      <c r="C233">
        <f t="shared" si="6"/>
        <v>2024</v>
      </c>
      <c r="D233">
        <f t="shared" si="5"/>
        <v>24</v>
      </c>
      <c r="E233">
        <v>1</v>
      </c>
      <c r="M233" s="56"/>
    </row>
    <row r="234" spans="3:13" x14ac:dyDescent="0.25">
      <c r="C234">
        <f t="shared" si="6"/>
        <v>2024</v>
      </c>
      <c r="D234">
        <f t="shared" si="5"/>
        <v>25</v>
      </c>
      <c r="E234">
        <v>1</v>
      </c>
      <c r="M234" s="56"/>
    </row>
    <row r="235" spans="3:13" x14ac:dyDescent="0.25">
      <c r="C235">
        <f t="shared" si="6"/>
        <v>2024</v>
      </c>
      <c r="D235">
        <f t="shared" ref="D235:D261" si="7">+D183</f>
        <v>26</v>
      </c>
      <c r="E235">
        <v>1</v>
      </c>
      <c r="M235" s="56"/>
    </row>
    <row r="236" spans="3:13" x14ac:dyDescent="0.25">
      <c r="C236">
        <f t="shared" si="6"/>
        <v>2024</v>
      </c>
      <c r="D236">
        <f t="shared" si="7"/>
        <v>27</v>
      </c>
      <c r="E236">
        <v>1</v>
      </c>
      <c r="M236" s="56"/>
    </row>
    <row r="237" spans="3:13" x14ac:dyDescent="0.25">
      <c r="C237">
        <f t="shared" si="6"/>
        <v>2024</v>
      </c>
      <c r="D237">
        <f t="shared" si="7"/>
        <v>28</v>
      </c>
      <c r="E237">
        <v>1</v>
      </c>
      <c r="M237" s="56"/>
    </row>
    <row r="238" spans="3:13" x14ac:dyDescent="0.25">
      <c r="C238">
        <f t="shared" si="6"/>
        <v>2024</v>
      </c>
      <c r="D238">
        <f t="shared" si="7"/>
        <v>29</v>
      </c>
      <c r="E238">
        <v>1</v>
      </c>
      <c r="M238" s="56"/>
    </row>
    <row r="239" spans="3:13" x14ac:dyDescent="0.25">
      <c r="C239">
        <f t="shared" si="6"/>
        <v>2024</v>
      </c>
      <c r="D239">
        <f t="shared" si="7"/>
        <v>30</v>
      </c>
      <c r="E239">
        <v>1</v>
      </c>
      <c r="M239" s="56"/>
    </row>
    <row r="240" spans="3:13" x14ac:dyDescent="0.25">
      <c r="C240">
        <f t="shared" si="6"/>
        <v>2024</v>
      </c>
      <c r="D240">
        <f t="shared" si="7"/>
        <v>31</v>
      </c>
      <c r="E240">
        <v>1</v>
      </c>
      <c r="M240" s="56"/>
    </row>
    <row r="241" spans="3:13" x14ac:dyDescent="0.25">
      <c r="C241">
        <f t="shared" si="6"/>
        <v>2024</v>
      </c>
      <c r="D241">
        <f t="shared" si="7"/>
        <v>32</v>
      </c>
      <c r="E241">
        <v>1</v>
      </c>
      <c r="M241" s="56"/>
    </row>
    <row r="242" spans="3:13" x14ac:dyDescent="0.25">
      <c r="C242">
        <f t="shared" si="6"/>
        <v>2024</v>
      </c>
      <c r="D242">
        <f t="shared" si="7"/>
        <v>33</v>
      </c>
      <c r="E242">
        <v>1</v>
      </c>
      <c r="M242" s="56"/>
    </row>
    <row r="243" spans="3:13" x14ac:dyDescent="0.25">
      <c r="C243">
        <f t="shared" si="6"/>
        <v>2024</v>
      </c>
      <c r="D243">
        <f t="shared" si="7"/>
        <v>34</v>
      </c>
      <c r="E243">
        <v>1</v>
      </c>
      <c r="M243" s="56"/>
    </row>
    <row r="244" spans="3:13" x14ac:dyDescent="0.25">
      <c r="C244">
        <f t="shared" si="6"/>
        <v>2024</v>
      </c>
      <c r="D244">
        <f t="shared" si="7"/>
        <v>35</v>
      </c>
      <c r="E244">
        <v>1</v>
      </c>
      <c r="M244" s="56"/>
    </row>
    <row r="245" spans="3:13" x14ac:dyDescent="0.25">
      <c r="C245">
        <f t="shared" si="6"/>
        <v>2024</v>
      </c>
      <c r="D245">
        <f t="shared" si="7"/>
        <v>36</v>
      </c>
      <c r="E245">
        <v>1</v>
      </c>
      <c r="M245" s="56"/>
    </row>
    <row r="246" spans="3:13" x14ac:dyDescent="0.25">
      <c r="C246">
        <f t="shared" si="6"/>
        <v>2024</v>
      </c>
      <c r="D246">
        <f t="shared" si="7"/>
        <v>37</v>
      </c>
      <c r="E246">
        <v>1</v>
      </c>
      <c r="M246" s="56"/>
    </row>
    <row r="247" spans="3:13" x14ac:dyDescent="0.25">
      <c r="C247">
        <f t="shared" si="6"/>
        <v>2024</v>
      </c>
      <c r="D247">
        <f t="shared" si="7"/>
        <v>38</v>
      </c>
      <c r="E247">
        <v>1</v>
      </c>
      <c r="M247" s="56"/>
    </row>
    <row r="248" spans="3:13" x14ac:dyDescent="0.25">
      <c r="C248">
        <f t="shared" si="6"/>
        <v>2024</v>
      </c>
      <c r="D248">
        <f t="shared" si="7"/>
        <v>39</v>
      </c>
      <c r="E248">
        <v>1</v>
      </c>
      <c r="M248" s="56"/>
    </row>
    <row r="249" spans="3:13" x14ac:dyDescent="0.25">
      <c r="C249">
        <f t="shared" si="6"/>
        <v>2024</v>
      </c>
      <c r="D249">
        <f t="shared" si="7"/>
        <v>40</v>
      </c>
      <c r="E249">
        <v>1</v>
      </c>
      <c r="M249" s="56"/>
    </row>
    <row r="250" spans="3:13" x14ac:dyDescent="0.25">
      <c r="C250">
        <f t="shared" si="6"/>
        <v>2024</v>
      </c>
      <c r="D250">
        <f t="shared" si="7"/>
        <v>41</v>
      </c>
      <c r="E250">
        <v>1</v>
      </c>
      <c r="M250" s="56"/>
    </row>
    <row r="251" spans="3:13" x14ac:dyDescent="0.25">
      <c r="C251">
        <f t="shared" si="6"/>
        <v>2024</v>
      </c>
      <c r="D251">
        <f t="shared" si="7"/>
        <v>42</v>
      </c>
      <c r="E251">
        <v>1</v>
      </c>
      <c r="M251" s="56"/>
    </row>
    <row r="252" spans="3:13" x14ac:dyDescent="0.25">
      <c r="C252">
        <f t="shared" si="6"/>
        <v>2024</v>
      </c>
      <c r="D252">
        <f t="shared" si="7"/>
        <v>43</v>
      </c>
      <c r="E252">
        <v>1</v>
      </c>
      <c r="M252" s="56"/>
    </row>
    <row r="253" spans="3:13" x14ac:dyDescent="0.25">
      <c r="C253">
        <f t="shared" si="6"/>
        <v>2024</v>
      </c>
      <c r="D253">
        <f t="shared" si="7"/>
        <v>44</v>
      </c>
      <c r="E253">
        <v>1</v>
      </c>
      <c r="M253" s="56"/>
    </row>
    <row r="254" spans="3:13" x14ac:dyDescent="0.25">
      <c r="C254">
        <f t="shared" si="6"/>
        <v>2024</v>
      </c>
      <c r="D254">
        <f t="shared" si="7"/>
        <v>45</v>
      </c>
      <c r="E254">
        <v>1</v>
      </c>
      <c r="M254" s="56"/>
    </row>
    <row r="255" spans="3:13" x14ac:dyDescent="0.25">
      <c r="C255">
        <f t="shared" si="6"/>
        <v>2024</v>
      </c>
      <c r="D255">
        <f t="shared" si="7"/>
        <v>46</v>
      </c>
      <c r="E255">
        <v>1</v>
      </c>
      <c r="M255" s="56"/>
    </row>
    <row r="256" spans="3:13" x14ac:dyDescent="0.25">
      <c r="C256">
        <f t="shared" si="6"/>
        <v>2024</v>
      </c>
      <c r="D256">
        <f t="shared" si="7"/>
        <v>47</v>
      </c>
      <c r="E256">
        <v>1</v>
      </c>
      <c r="M256" s="56"/>
    </row>
    <row r="257" spans="3:13" x14ac:dyDescent="0.25">
      <c r="C257">
        <f t="shared" si="6"/>
        <v>2024</v>
      </c>
      <c r="D257">
        <f t="shared" si="7"/>
        <v>48</v>
      </c>
      <c r="E257">
        <v>1</v>
      </c>
      <c r="M257" s="56"/>
    </row>
    <row r="258" spans="3:13" x14ac:dyDescent="0.25">
      <c r="C258">
        <f t="shared" si="6"/>
        <v>2024</v>
      </c>
      <c r="D258">
        <f t="shared" si="7"/>
        <v>49</v>
      </c>
      <c r="E258">
        <v>1</v>
      </c>
      <c r="M258" s="56"/>
    </row>
    <row r="259" spans="3:13" x14ac:dyDescent="0.25">
      <c r="C259">
        <f t="shared" si="6"/>
        <v>2024</v>
      </c>
      <c r="D259">
        <f t="shared" si="7"/>
        <v>50</v>
      </c>
      <c r="E259">
        <v>1</v>
      </c>
      <c r="M259" s="56"/>
    </row>
    <row r="260" spans="3:13" x14ac:dyDescent="0.25">
      <c r="C260">
        <f t="shared" si="6"/>
        <v>2024</v>
      </c>
      <c r="D260">
        <f t="shared" si="7"/>
        <v>51</v>
      </c>
      <c r="E260">
        <v>1</v>
      </c>
      <c r="M260" s="56"/>
    </row>
    <row r="261" spans="3:13" x14ac:dyDescent="0.25">
      <c r="C261">
        <f t="shared" si="6"/>
        <v>2024</v>
      </c>
      <c r="D261">
        <f t="shared" si="7"/>
        <v>52</v>
      </c>
      <c r="E261">
        <v>1</v>
      </c>
      <c r="M261" s="56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7B149-96E4-474A-BE1A-52E57989181E}">
  <sheetPr codeName="Feuil15">
    <tabColor rgb="FFFFFF00"/>
  </sheetPr>
  <dimension ref="A1:J36"/>
  <sheetViews>
    <sheetView workbookViewId="0">
      <selection activeCell="C1" sqref="C1"/>
    </sheetView>
  </sheetViews>
  <sheetFormatPr baseColWidth="10" defaultColWidth="11" defaultRowHeight="15.75" x14ac:dyDescent="0.25"/>
  <cols>
    <col min="3" max="3" width="16.25" customWidth="1"/>
    <col min="4" max="4" width="47.25" customWidth="1"/>
    <col min="5" max="5" width="11.875" bestFit="1" customWidth="1"/>
    <col min="7" max="7" width="11.875" bestFit="1" customWidth="1"/>
    <col min="8" max="8" width="22.375" bestFit="1" customWidth="1"/>
  </cols>
  <sheetData>
    <row r="1" spans="1:10" x14ac:dyDescent="0.25">
      <c r="A1" s="6" t="s">
        <v>88</v>
      </c>
      <c r="C1" s="6" t="s">
        <v>50</v>
      </c>
      <c r="D1" s="6" t="s">
        <v>51</v>
      </c>
      <c r="E1" s="6" t="s">
        <v>52</v>
      </c>
      <c r="F1" s="6"/>
      <c r="G1" s="6" t="s">
        <v>50</v>
      </c>
      <c r="H1" s="6" t="s">
        <v>51</v>
      </c>
      <c r="I1" s="6" t="s">
        <v>52</v>
      </c>
      <c r="J1" s="6"/>
    </row>
    <row r="2" spans="1:10" s="15" customFormat="1" x14ac:dyDescent="0.25">
      <c r="A2" s="15" t="s">
        <v>579</v>
      </c>
      <c r="C2" t="s">
        <v>136</v>
      </c>
      <c r="D2" t="s">
        <v>583</v>
      </c>
      <c r="E2" s="16">
        <v>7</v>
      </c>
      <c r="F2" s="16"/>
      <c r="G2" t="s">
        <v>136</v>
      </c>
      <c r="H2" t="s">
        <v>583</v>
      </c>
      <c r="I2" s="16">
        <v>7</v>
      </c>
      <c r="J2" s="16"/>
    </row>
    <row r="3" spans="1:10" x14ac:dyDescent="0.25">
      <c r="A3" s="6" t="s">
        <v>50</v>
      </c>
      <c r="C3" t="s">
        <v>137</v>
      </c>
      <c r="D3" t="s">
        <v>584</v>
      </c>
      <c r="E3" s="16">
        <v>24</v>
      </c>
      <c r="F3" s="16"/>
      <c r="G3" t="s">
        <v>137</v>
      </c>
      <c r="H3" t="s">
        <v>584</v>
      </c>
      <c r="I3" s="16">
        <v>24</v>
      </c>
      <c r="J3" s="16"/>
    </row>
    <row r="4" spans="1:10" x14ac:dyDescent="0.25">
      <c r="A4" t="s">
        <v>578</v>
      </c>
      <c r="C4" t="s">
        <v>63</v>
      </c>
      <c r="D4" t="s">
        <v>53</v>
      </c>
      <c r="E4" s="45">
        <v>6.9999999999999994E-5</v>
      </c>
      <c r="F4" s="16"/>
      <c r="G4" t="s">
        <v>63</v>
      </c>
      <c r="H4" t="s">
        <v>53</v>
      </c>
      <c r="I4" s="45">
        <v>6.9999999999999994E-5</v>
      </c>
      <c r="J4" s="16"/>
    </row>
    <row r="5" spans="1:10" x14ac:dyDescent="0.25">
      <c r="C5" t="s">
        <v>64</v>
      </c>
      <c r="D5" t="s">
        <v>65</v>
      </c>
      <c r="E5" s="16">
        <v>0.5</v>
      </c>
      <c r="F5" s="16"/>
      <c r="G5" t="s">
        <v>64</v>
      </c>
      <c r="H5" t="s">
        <v>65</v>
      </c>
      <c r="I5" s="16">
        <v>0.5</v>
      </c>
      <c r="J5" s="16"/>
    </row>
    <row r="6" spans="1:10" x14ac:dyDescent="0.25">
      <c r="C6" t="s">
        <v>66</v>
      </c>
      <c r="D6" t="s">
        <v>125</v>
      </c>
      <c r="E6" s="16">
        <v>0.87055056329612401</v>
      </c>
      <c r="F6" s="16"/>
      <c r="G6" t="s">
        <v>66</v>
      </c>
      <c r="H6" t="s">
        <v>125</v>
      </c>
      <c r="I6" s="16">
        <v>0.87055056329612401</v>
      </c>
      <c r="J6" s="16"/>
    </row>
    <row r="7" spans="1:10" x14ac:dyDescent="0.25">
      <c r="C7" t="s">
        <v>67</v>
      </c>
      <c r="D7" t="s">
        <v>126</v>
      </c>
      <c r="E7" s="16">
        <v>1.0116194403019201</v>
      </c>
      <c r="F7" s="16"/>
      <c r="G7" t="s">
        <v>67</v>
      </c>
      <c r="H7" t="s">
        <v>126</v>
      </c>
      <c r="I7" s="16">
        <v>1.0116194403019201</v>
      </c>
      <c r="J7" s="16"/>
    </row>
    <row r="8" spans="1:10" x14ac:dyDescent="0.25">
      <c r="C8" t="s">
        <v>68</v>
      </c>
      <c r="D8" t="s">
        <v>127</v>
      </c>
      <c r="E8" s="16">
        <v>0.9</v>
      </c>
      <c r="F8" s="16"/>
      <c r="G8" t="s">
        <v>68</v>
      </c>
      <c r="H8" t="s">
        <v>127</v>
      </c>
      <c r="I8" s="16">
        <v>0.9</v>
      </c>
      <c r="J8" s="16"/>
    </row>
    <row r="9" spans="1:10" x14ac:dyDescent="0.25">
      <c r="C9" t="s">
        <v>62</v>
      </c>
      <c r="D9" t="s">
        <v>135</v>
      </c>
      <c r="E9" s="16">
        <v>42</v>
      </c>
      <c r="F9" s="16"/>
      <c r="G9" t="s">
        <v>62</v>
      </c>
      <c r="H9" t="s">
        <v>135</v>
      </c>
      <c r="I9" s="16">
        <v>42</v>
      </c>
      <c r="J9" s="16"/>
    </row>
    <row r="10" spans="1:10" x14ac:dyDescent="0.25">
      <c r="E10" s="16"/>
      <c r="F10" s="16"/>
      <c r="G10" s="16"/>
      <c r="J10" s="16"/>
    </row>
    <row r="11" spans="1:10" x14ac:dyDescent="0.25">
      <c r="E11" s="16"/>
      <c r="F11" s="16"/>
      <c r="G11" s="16"/>
    </row>
    <row r="12" spans="1:10" x14ac:dyDescent="0.25">
      <c r="D12" s="23"/>
      <c r="E12" s="16"/>
      <c r="F12" s="16"/>
      <c r="G12" s="16"/>
    </row>
    <row r="16" spans="1:10" x14ac:dyDescent="0.25">
      <c r="D16" s="20"/>
    </row>
    <row r="17" spans="4:8" x14ac:dyDescent="0.25">
      <c r="D17" s="44"/>
    </row>
    <row r="27" spans="4:8" x14ac:dyDescent="0.25">
      <c r="E27" s="3"/>
      <c r="G27" s="3"/>
    </row>
    <row r="28" spans="4:8" x14ac:dyDescent="0.25">
      <c r="E28" s="3"/>
      <c r="G28" s="3"/>
    </row>
    <row r="29" spans="4:8" x14ac:dyDescent="0.25">
      <c r="E29" s="3"/>
      <c r="G29" s="3"/>
    </row>
    <row r="30" spans="4:8" x14ac:dyDescent="0.25">
      <c r="E30" s="3"/>
      <c r="G30" s="3"/>
    </row>
    <row r="31" spans="4:8" x14ac:dyDescent="0.25">
      <c r="E31" s="3"/>
    </row>
    <row r="32" spans="4:8" x14ac:dyDescent="0.25">
      <c r="E32" s="3"/>
      <c r="H32">
        <f>COS(1*2*PI())</f>
        <v>1</v>
      </c>
    </row>
    <row r="33" spans="5:5" x14ac:dyDescent="0.25">
      <c r="E33" s="3"/>
    </row>
    <row r="34" spans="5:5" x14ac:dyDescent="0.25">
      <c r="E34" s="3"/>
    </row>
    <row r="35" spans="5:5" x14ac:dyDescent="0.25">
      <c r="E35" s="3"/>
    </row>
    <row r="36" spans="5:5" x14ac:dyDescent="0.25">
      <c r="E36" s="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1">
    <tabColor rgb="FFFF0000"/>
  </sheetPr>
  <dimension ref="A1:I36"/>
  <sheetViews>
    <sheetView tabSelected="1" workbookViewId="0">
      <selection activeCell="C1" sqref="C1"/>
    </sheetView>
  </sheetViews>
  <sheetFormatPr baseColWidth="10" defaultColWidth="11" defaultRowHeight="15.75" x14ac:dyDescent="0.25"/>
  <cols>
    <col min="3" max="3" width="13.625" bestFit="1" customWidth="1"/>
    <col min="4" max="4" width="56.375" bestFit="1" customWidth="1"/>
    <col min="5" max="5" width="11.875" bestFit="1" customWidth="1"/>
    <col min="8" max="8" width="22.375" bestFit="1" customWidth="1"/>
  </cols>
  <sheetData>
    <row r="1" spans="1:9" x14ac:dyDescent="0.25">
      <c r="A1" s="6" t="s">
        <v>88</v>
      </c>
      <c r="C1" s="6" t="s">
        <v>50</v>
      </c>
      <c r="D1" s="6" t="s">
        <v>51</v>
      </c>
      <c r="E1" s="6" t="s">
        <v>52</v>
      </c>
      <c r="F1" s="6"/>
      <c r="G1" s="6" t="s">
        <v>50</v>
      </c>
      <c r="H1" s="6" t="s">
        <v>51</v>
      </c>
      <c r="I1" s="6" t="s">
        <v>52</v>
      </c>
    </row>
    <row r="2" spans="1:9" s="15" customFormat="1" x14ac:dyDescent="0.25">
      <c r="A2" s="15" t="s">
        <v>86</v>
      </c>
      <c r="C2" t="s">
        <v>9</v>
      </c>
      <c r="D2" t="s">
        <v>595</v>
      </c>
      <c r="E2" s="16">
        <v>0.75</v>
      </c>
      <c r="F2" s="16"/>
      <c r="G2" t="s">
        <v>9</v>
      </c>
      <c r="H2" t="s">
        <v>12</v>
      </c>
      <c r="I2" s="16">
        <v>0.75</v>
      </c>
    </row>
    <row r="3" spans="1:9" x14ac:dyDescent="0.25">
      <c r="A3" s="6" t="s">
        <v>50</v>
      </c>
      <c r="C3" t="s">
        <v>10</v>
      </c>
      <c r="D3" t="s">
        <v>596</v>
      </c>
      <c r="E3" s="16">
        <v>1</v>
      </c>
      <c r="F3" s="16"/>
      <c r="G3" t="s">
        <v>10</v>
      </c>
      <c r="H3" t="s">
        <v>48</v>
      </c>
      <c r="I3" s="16">
        <v>1</v>
      </c>
    </row>
    <row r="4" spans="1:9" x14ac:dyDescent="0.25">
      <c r="A4" t="s">
        <v>599</v>
      </c>
      <c r="C4" t="s">
        <v>11</v>
      </c>
      <c r="D4" t="s">
        <v>597</v>
      </c>
      <c r="E4" s="16">
        <v>1</v>
      </c>
      <c r="F4" s="16"/>
      <c r="G4" t="s">
        <v>11</v>
      </c>
      <c r="H4" t="s">
        <v>49</v>
      </c>
      <c r="I4" s="16">
        <v>1</v>
      </c>
    </row>
    <row r="5" spans="1:9" x14ac:dyDescent="0.25">
      <c r="C5" t="s">
        <v>30</v>
      </c>
      <c r="D5" t="s">
        <v>149</v>
      </c>
      <c r="E5" s="16">
        <v>5</v>
      </c>
      <c r="F5" s="16"/>
      <c r="G5" t="s">
        <v>30</v>
      </c>
      <c r="H5" t="s">
        <v>149</v>
      </c>
      <c r="I5" s="16">
        <v>5</v>
      </c>
    </row>
    <row r="6" spans="1:9" x14ac:dyDescent="0.25">
      <c r="C6" t="s">
        <v>13</v>
      </c>
      <c r="D6" t="s">
        <v>150</v>
      </c>
      <c r="E6" s="16">
        <v>2</v>
      </c>
      <c r="F6" s="16"/>
      <c r="G6" t="s">
        <v>13</v>
      </c>
      <c r="H6" t="s">
        <v>150</v>
      </c>
      <c r="I6" s="16">
        <v>2</v>
      </c>
    </row>
    <row r="7" spans="1:9" x14ac:dyDescent="0.25">
      <c r="C7" t="s">
        <v>14</v>
      </c>
      <c r="D7" t="s">
        <v>592</v>
      </c>
      <c r="E7" s="64">
        <v>2</v>
      </c>
      <c r="F7" s="16"/>
      <c r="G7" t="s">
        <v>14</v>
      </c>
      <c r="H7" t="s">
        <v>592</v>
      </c>
      <c r="I7" s="45">
        <v>1</v>
      </c>
    </row>
    <row r="8" spans="1:9" x14ac:dyDescent="0.25">
      <c r="C8" t="s">
        <v>59</v>
      </c>
      <c r="D8" t="s">
        <v>593</v>
      </c>
      <c r="E8" s="32">
        <v>0.9</v>
      </c>
      <c r="F8" s="30"/>
      <c r="G8" t="s">
        <v>59</v>
      </c>
      <c r="H8" t="s">
        <v>60</v>
      </c>
      <c r="I8" s="32">
        <v>0.9</v>
      </c>
    </row>
    <row r="9" spans="1:9" x14ac:dyDescent="0.25">
      <c r="C9" t="s">
        <v>56</v>
      </c>
      <c r="D9" t="s">
        <v>591</v>
      </c>
      <c r="E9" s="16">
        <v>0.25</v>
      </c>
      <c r="F9" s="16"/>
      <c r="G9" t="s">
        <v>56</v>
      </c>
      <c r="H9" t="s">
        <v>591</v>
      </c>
      <c r="I9" s="16">
        <v>1</v>
      </c>
    </row>
    <row r="10" spans="1:9" x14ac:dyDescent="0.25">
      <c r="C10" t="s">
        <v>54</v>
      </c>
      <c r="D10" t="s">
        <v>594</v>
      </c>
      <c r="E10" s="16">
        <v>0.2</v>
      </c>
      <c r="F10" s="16"/>
      <c r="G10" t="s">
        <v>54</v>
      </c>
      <c r="H10" t="s">
        <v>55</v>
      </c>
      <c r="I10" s="16">
        <v>0.2</v>
      </c>
    </row>
    <row r="11" spans="1:9" x14ac:dyDescent="0.25">
      <c r="E11" s="16"/>
      <c r="F11" s="16"/>
      <c r="G11" s="16"/>
    </row>
    <row r="12" spans="1:9" x14ac:dyDescent="0.25">
      <c r="E12" s="16"/>
      <c r="F12" s="16"/>
      <c r="G12" s="16"/>
    </row>
    <row r="13" spans="1:9" x14ac:dyDescent="0.25">
      <c r="E13" s="16"/>
      <c r="F13" s="16"/>
      <c r="G13" s="16"/>
    </row>
    <row r="14" spans="1:9" x14ac:dyDescent="0.25">
      <c r="E14" s="16"/>
      <c r="F14" s="16"/>
      <c r="G14" s="16"/>
    </row>
    <row r="15" spans="1:9" x14ac:dyDescent="0.25">
      <c r="E15" s="16"/>
      <c r="F15" s="16"/>
      <c r="G15" s="16"/>
    </row>
    <row r="16" spans="1:9" x14ac:dyDescent="0.25">
      <c r="E16" s="16"/>
      <c r="F16" s="16"/>
      <c r="G16" s="16"/>
    </row>
    <row r="17" spans="5:8" x14ac:dyDescent="0.25">
      <c r="E17" s="16"/>
      <c r="F17" s="16"/>
      <c r="G17" s="16"/>
    </row>
    <row r="27" spans="5:8" x14ac:dyDescent="0.25">
      <c r="E27" s="3"/>
      <c r="G27" s="3"/>
    </row>
    <row r="28" spans="5:8" x14ac:dyDescent="0.25">
      <c r="E28" s="3"/>
      <c r="G28" s="3"/>
    </row>
    <row r="29" spans="5:8" x14ac:dyDescent="0.25">
      <c r="E29" s="3"/>
      <c r="G29" s="3"/>
    </row>
    <row r="30" spans="5:8" x14ac:dyDescent="0.25">
      <c r="E30" s="3"/>
      <c r="G30" s="3"/>
    </row>
    <row r="31" spans="5:8" x14ac:dyDescent="0.25">
      <c r="E31" s="3"/>
    </row>
    <row r="32" spans="5:8" x14ac:dyDescent="0.25">
      <c r="E32" s="3"/>
      <c r="H32">
        <f>COS(1*2*PI())</f>
        <v>1</v>
      </c>
    </row>
    <row r="33" spans="5:5" x14ac:dyDescent="0.25">
      <c r="E33" s="3"/>
    </row>
    <row r="34" spans="5:5" x14ac:dyDescent="0.25">
      <c r="E34" s="3"/>
    </row>
    <row r="35" spans="5:5" x14ac:dyDescent="0.25">
      <c r="E35" s="3"/>
    </row>
    <row r="36" spans="5:5" x14ac:dyDescent="0.25">
      <c r="E36" s="3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BACB1-37D1-44DF-80DF-978A93CCFC3F}">
  <sheetPr codeName="Feuil16">
    <tabColor rgb="FFFFC000"/>
  </sheetPr>
  <dimension ref="A1:K36"/>
  <sheetViews>
    <sheetView workbookViewId="0">
      <selection activeCell="C1" sqref="C1"/>
    </sheetView>
  </sheetViews>
  <sheetFormatPr baseColWidth="10" defaultColWidth="11" defaultRowHeight="15.75" x14ac:dyDescent="0.25"/>
  <cols>
    <col min="3" max="3" width="13.625" bestFit="1" customWidth="1"/>
    <col min="4" max="4" width="56.375" bestFit="1" customWidth="1"/>
    <col min="5" max="5" width="11.875" bestFit="1" customWidth="1"/>
    <col min="8" max="8" width="22.375" bestFit="1" customWidth="1"/>
  </cols>
  <sheetData>
    <row r="1" spans="1:11" x14ac:dyDescent="0.25">
      <c r="A1" s="6" t="s">
        <v>88</v>
      </c>
      <c r="C1" s="6" t="s">
        <v>50</v>
      </c>
      <c r="D1" s="6" t="s">
        <v>51</v>
      </c>
      <c r="E1" s="6" t="s">
        <v>96</v>
      </c>
      <c r="F1" s="6" t="s">
        <v>97</v>
      </c>
      <c r="G1" s="6"/>
      <c r="H1" s="6" t="s">
        <v>50</v>
      </c>
      <c r="I1" s="6" t="s">
        <v>51</v>
      </c>
      <c r="J1" s="6" t="s">
        <v>96</v>
      </c>
      <c r="K1" s="6" t="s">
        <v>97</v>
      </c>
    </row>
    <row r="2" spans="1:11" x14ac:dyDescent="0.25">
      <c r="A2" s="15" t="s">
        <v>61</v>
      </c>
      <c r="C2" t="s">
        <v>98</v>
      </c>
      <c r="D2" t="s">
        <v>122</v>
      </c>
      <c r="E2" s="32">
        <v>0</v>
      </c>
      <c r="F2" s="32">
        <v>0</v>
      </c>
      <c r="G2" s="16"/>
      <c r="H2" t="s">
        <v>98</v>
      </c>
      <c r="I2" t="s">
        <v>122</v>
      </c>
      <c r="J2" s="32">
        <v>0.7</v>
      </c>
      <c r="K2" s="32">
        <v>0.7</v>
      </c>
    </row>
    <row r="3" spans="1:11" x14ac:dyDescent="0.25">
      <c r="A3" s="6" t="s">
        <v>50</v>
      </c>
      <c r="C3" t="s">
        <v>99</v>
      </c>
      <c r="D3" t="s">
        <v>100</v>
      </c>
      <c r="E3" s="32">
        <v>1</v>
      </c>
      <c r="F3" s="32">
        <v>1</v>
      </c>
      <c r="G3" s="16"/>
      <c r="H3" t="s">
        <v>99</v>
      </c>
      <c r="I3" t="s">
        <v>100</v>
      </c>
      <c r="J3" s="32">
        <v>0</v>
      </c>
      <c r="K3" s="32">
        <v>0</v>
      </c>
    </row>
    <row r="4" spans="1:11" x14ac:dyDescent="0.25">
      <c r="A4" t="s">
        <v>588</v>
      </c>
      <c r="C4" t="s">
        <v>101</v>
      </c>
      <c r="D4" t="s">
        <v>102</v>
      </c>
      <c r="E4" s="32">
        <v>0</v>
      </c>
      <c r="F4" s="32">
        <v>0</v>
      </c>
      <c r="G4" s="16"/>
      <c r="H4" t="s">
        <v>101</v>
      </c>
      <c r="I4" t="s">
        <v>102</v>
      </c>
      <c r="J4" s="32">
        <v>0</v>
      </c>
      <c r="K4" s="32">
        <v>0</v>
      </c>
    </row>
    <row r="5" spans="1:11" x14ac:dyDescent="0.25">
      <c r="C5" t="s">
        <v>103</v>
      </c>
      <c r="D5" t="s">
        <v>104</v>
      </c>
      <c r="E5" s="32">
        <v>0</v>
      </c>
      <c r="F5" s="32">
        <v>0</v>
      </c>
      <c r="G5" s="16"/>
      <c r="H5" t="s">
        <v>103</v>
      </c>
      <c r="I5" t="s">
        <v>104</v>
      </c>
      <c r="J5" s="32">
        <v>0</v>
      </c>
      <c r="K5" s="32">
        <v>0</v>
      </c>
    </row>
    <row r="6" spans="1:11" x14ac:dyDescent="0.25">
      <c r="C6" t="s">
        <v>105</v>
      </c>
      <c r="D6" t="s">
        <v>106</v>
      </c>
      <c r="E6" s="32">
        <v>0</v>
      </c>
      <c r="F6" s="32">
        <v>0</v>
      </c>
      <c r="G6" s="16"/>
      <c r="H6" t="s">
        <v>105</v>
      </c>
      <c r="I6" t="s">
        <v>106</v>
      </c>
      <c r="J6" s="32">
        <v>0</v>
      </c>
      <c r="K6" s="32">
        <v>0</v>
      </c>
    </row>
    <row r="7" spans="1:11" x14ac:dyDescent="0.25">
      <c r="C7" t="s">
        <v>31</v>
      </c>
      <c r="D7" t="s">
        <v>587</v>
      </c>
      <c r="E7" s="16">
        <v>1</v>
      </c>
      <c r="F7" s="16">
        <v>1</v>
      </c>
      <c r="G7" s="16"/>
      <c r="H7" t="s">
        <v>31</v>
      </c>
      <c r="I7" t="s">
        <v>160</v>
      </c>
      <c r="J7" s="16">
        <v>1</v>
      </c>
      <c r="K7" s="16">
        <v>1</v>
      </c>
    </row>
    <row r="8" spans="1:11" x14ac:dyDescent="0.25">
      <c r="C8" t="s">
        <v>58</v>
      </c>
      <c r="D8" t="s">
        <v>107</v>
      </c>
      <c r="E8" s="32">
        <v>0.7</v>
      </c>
      <c r="F8" s="32">
        <v>0.7</v>
      </c>
      <c r="G8" s="16"/>
      <c r="H8" t="s">
        <v>58</v>
      </c>
      <c r="I8" t="s">
        <v>107</v>
      </c>
      <c r="J8" s="32">
        <v>0</v>
      </c>
      <c r="K8" s="32">
        <v>0</v>
      </c>
    </row>
    <row r="9" spans="1:11" x14ac:dyDescent="0.25">
      <c r="C9" t="s">
        <v>108</v>
      </c>
      <c r="D9" t="s">
        <v>109</v>
      </c>
      <c r="E9" s="16">
        <v>1</v>
      </c>
      <c r="F9" s="16">
        <v>1</v>
      </c>
      <c r="G9" s="16"/>
      <c r="H9" t="s">
        <v>108</v>
      </c>
      <c r="I9" t="s">
        <v>109</v>
      </c>
      <c r="J9" s="16">
        <v>1</v>
      </c>
      <c r="K9" s="16">
        <v>1</v>
      </c>
    </row>
    <row r="10" spans="1:11" x14ac:dyDescent="0.25">
      <c r="E10" s="16"/>
      <c r="F10" s="16"/>
      <c r="G10" s="16"/>
    </row>
    <row r="11" spans="1:11" x14ac:dyDescent="0.25">
      <c r="E11" s="16"/>
      <c r="F11" s="16"/>
      <c r="G11" s="16"/>
    </row>
    <row r="13" spans="1:11" x14ac:dyDescent="0.25">
      <c r="E13" s="16"/>
    </row>
    <row r="14" spans="1:11" x14ac:dyDescent="0.25">
      <c r="E14" s="16"/>
    </row>
    <row r="15" spans="1:11" ht="19.5" customHeight="1" x14ac:dyDescent="0.25">
      <c r="E15" s="16"/>
    </row>
    <row r="16" spans="1:11" x14ac:dyDescent="0.25">
      <c r="E16" s="16"/>
    </row>
    <row r="17" spans="5:7" x14ac:dyDescent="0.25">
      <c r="E17" s="16"/>
    </row>
    <row r="18" spans="5:7" x14ac:dyDescent="0.25">
      <c r="E18" s="16"/>
    </row>
    <row r="19" spans="5:7" x14ac:dyDescent="0.25">
      <c r="E19" s="16"/>
    </row>
    <row r="20" spans="5:7" x14ac:dyDescent="0.25">
      <c r="E20" s="16"/>
    </row>
    <row r="27" spans="5:7" x14ac:dyDescent="0.25">
      <c r="E27" s="3"/>
      <c r="G27" s="3"/>
    </row>
    <row r="28" spans="5:7" x14ac:dyDescent="0.25">
      <c r="E28" s="3"/>
      <c r="G28" s="3"/>
    </row>
    <row r="29" spans="5:7" x14ac:dyDescent="0.25">
      <c r="E29" s="3"/>
      <c r="G29" s="3"/>
    </row>
    <row r="30" spans="5:7" x14ac:dyDescent="0.25">
      <c r="E30" s="3"/>
      <c r="G30" s="3"/>
    </row>
    <row r="31" spans="5:7" x14ac:dyDescent="0.25">
      <c r="E31" s="3"/>
    </row>
    <row r="32" spans="5:7" x14ac:dyDescent="0.25">
      <c r="E32" s="3"/>
    </row>
    <row r="33" spans="5:5" x14ac:dyDescent="0.25">
      <c r="E33" s="3"/>
    </row>
    <row r="34" spans="5:5" x14ac:dyDescent="0.25">
      <c r="E34" s="3"/>
    </row>
    <row r="35" spans="5:5" x14ac:dyDescent="0.25">
      <c r="E35" s="3"/>
    </row>
    <row r="36" spans="5:5" x14ac:dyDescent="0.25">
      <c r="E36" s="3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DFD55-FE25-4D7E-AE55-86058850FE9B}">
  <sheetPr codeName="Feuil9">
    <tabColor rgb="FFFFC000"/>
  </sheetPr>
  <dimension ref="A1:AP277"/>
  <sheetViews>
    <sheetView topLeftCell="A228" workbookViewId="0">
      <selection activeCell="C1" sqref="C1:D261"/>
    </sheetView>
  </sheetViews>
  <sheetFormatPr baseColWidth="10" defaultColWidth="11" defaultRowHeight="15.75" x14ac:dyDescent="0.25"/>
  <sheetData>
    <row r="1" spans="1:42" x14ac:dyDescent="0.25">
      <c r="A1" s="6" t="s">
        <v>88</v>
      </c>
      <c r="C1" s="6" t="s">
        <v>15</v>
      </c>
      <c r="D1" s="6" t="s">
        <v>417</v>
      </c>
      <c r="E1" s="6" t="s">
        <v>36</v>
      </c>
      <c r="F1" s="6" t="s">
        <v>37</v>
      </c>
      <c r="G1" s="6" t="s">
        <v>38</v>
      </c>
      <c r="H1" s="6" t="s">
        <v>39</v>
      </c>
      <c r="I1" s="6" t="s">
        <v>40</v>
      </c>
      <c r="J1" s="6" t="s">
        <v>41</v>
      </c>
      <c r="K1" s="6" t="s">
        <v>42</v>
      </c>
      <c r="L1" s="6" t="s">
        <v>43</v>
      </c>
      <c r="M1" s="6" t="s">
        <v>44</v>
      </c>
      <c r="N1" s="6" t="s">
        <v>61</v>
      </c>
      <c r="O1" s="6"/>
      <c r="Q1" s="16" t="s">
        <v>133</v>
      </c>
      <c r="R1" s="23">
        <v>1</v>
      </c>
      <c r="U1" s="6" t="s">
        <v>36</v>
      </c>
      <c r="V1" s="6" t="s">
        <v>37</v>
      </c>
      <c r="W1" s="6" t="s">
        <v>38</v>
      </c>
      <c r="X1" s="6" t="s">
        <v>39</v>
      </c>
      <c r="Y1" s="6" t="s">
        <v>40</v>
      </c>
      <c r="Z1" s="6" t="s">
        <v>41</v>
      </c>
      <c r="AA1" s="6" t="s">
        <v>42</v>
      </c>
      <c r="AB1" s="6" t="s">
        <v>43</v>
      </c>
      <c r="AC1" s="6" t="s">
        <v>44</v>
      </c>
      <c r="AE1" s="6" t="s">
        <v>120</v>
      </c>
      <c r="AF1" s="4" t="s">
        <v>110</v>
      </c>
      <c r="AG1" s="4" t="s">
        <v>111</v>
      </c>
      <c r="AH1" t="s">
        <v>112</v>
      </c>
      <c r="AI1" s="6" t="s">
        <v>121</v>
      </c>
      <c r="AJ1" s="4" t="s">
        <v>110</v>
      </c>
      <c r="AK1" s="4" t="s">
        <v>111</v>
      </c>
      <c r="AL1" t="s">
        <v>112</v>
      </c>
      <c r="AM1" s="6" t="s">
        <v>134</v>
      </c>
      <c r="AN1" s="4" t="s">
        <v>110</v>
      </c>
      <c r="AO1" s="4" t="s">
        <v>111</v>
      </c>
      <c r="AP1" t="s">
        <v>112</v>
      </c>
    </row>
    <row r="2" spans="1:42" x14ac:dyDescent="0.25">
      <c r="A2" s="15" t="s">
        <v>61</v>
      </c>
      <c r="C2">
        <v>2020</v>
      </c>
      <c r="D2">
        <v>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1</v>
      </c>
      <c r="R2" s="31" t="str">
        <f ca="1">OFFSET(AE2,$R$1,)</f>
        <v>SC1_60</v>
      </c>
      <c r="T2" s="4" t="s">
        <v>110</v>
      </c>
      <c r="U2" s="39">
        <v>0</v>
      </c>
      <c r="V2" s="39">
        <v>0</v>
      </c>
      <c r="W2" s="39">
        <v>0.21024642117305134</v>
      </c>
      <c r="X2" s="39">
        <v>0.21024642117305137</v>
      </c>
      <c r="Y2" s="39">
        <v>0.21024642117305137</v>
      </c>
      <c r="Z2" s="39">
        <v>0.21024642117305137</v>
      </c>
      <c r="AA2" s="39">
        <v>0</v>
      </c>
      <c r="AB2" s="39">
        <v>0</v>
      </c>
      <c r="AC2" s="39">
        <v>0</v>
      </c>
      <c r="AE2" t="s">
        <v>115</v>
      </c>
      <c r="AF2" s="43">
        <v>0</v>
      </c>
      <c r="AG2" s="43">
        <v>0</v>
      </c>
      <c r="AH2" s="43">
        <v>0</v>
      </c>
      <c r="AI2" t="s">
        <v>115</v>
      </c>
      <c r="AJ2" s="43">
        <v>0</v>
      </c>
      <c r="AK2" s="43">
        <v>0</v>
      </c>
      <c r="AL2" s="43">
        <v>0</v>
      </c>
      <c r="AM2" t="s">
        <v>115</v>
      </c>
      <c r="AN2" s="43">
        <f t="shared" ref="AN2:AP7" si="0">+AF2+AJ2</f>
        <v>0</v>
      </c>
      <c r="AO2" s="43">
        <f t="shared" si="0"/>
        <v>0</v>
      </c>
      <c r="AP2" s="43">
        <f t="shared" si="0"/>
        <v>0</v>
      </c>
    </row>
    <row r="3" spans="1:42" x14ac:dyDescent="0.25">
      <c r="A3" s="6" t="s">
        <v>50</v>
      </c>
      <c r="C3">
        <v>2020</v>
      </c>
      <c r="D3">
        <v>2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1</v>
      </c>
      <c r="R3" s="4"/>
      <c r="S3" s="4"/>
      <c r="T3" s="4" t="s">
        <v>111</v>
      </c>
      <c r="U3" s="39">
        <v>0</v>
      </c>
      <c r="V3" s="39">
        <v>0</v>
      </c>
      <c r="W3" s="39">
        <v>6.7059810958743943E-2</v>
      </c>
      <c r="X3" s="39">
        <v>0.10989948339854388</v>
      </c>
      <c r="Y3" s="39">
        <v>0.16904951909001323</v>
      </c>
      <c r="Z3" s="39">
        <v>0.26368536569580231</v>
      </c>
      <c r="AA3" s="39">
        <v>0.73055249563247271</v>
      </c>
      <c r="AB3" s="39">
        <v>1</v>
      </c>
      <c r="AC3" s="39">
        <v>1</v>
      </c>
      <c r="AD3" s="4"/>
      <c r="AE3" t="s">
        <v>418</v>
      </c>
      <c r="AF3" s="43">
        <v>0.6</v>
      </c>
      <c r="AG3" s="43">
        <v>0.6</v>
      </c>
      <c r="AH3" s="16">
        <v>0</v>
      </c>
      <c r="AI3" t="s">
        <v>116</v>
      </c>
      <c r="AJ3" s="43">
        <v>0</v>
      </c>
      <c r="AK3" s="43">
        <v>0</v>
      </c>
      <c r="AL3" s="43">
        <v>0.6</v>
      </c>
      <c r="AM3" t="s">
        <v>116</v>
      </c>
      <c r="AN3" s="43">
        <f t="shared" si="0"/>
        <v>0.6</v>
      </c>
      <c r="AO3" s="43">
        <f t="shared" si="0"/>
        <v>0.6</v>
      </c>
      <c r="AP3" s="43">
        <f t="shared" si="0"/>
        <v>0.6</v>
      </c>
    </row>
    <row r="4" spans="1:42" x14ac:dyDescent="0.25">
      <c r="A4" t="s">
        <v>434</v>
      </c>
      <c r="C4">
        <v>2020</v>
      </c>
      <c r="D4">
        <v>3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1</v>
      </c>
      <c r="P4" s="4"/>
      <c r="Q4" s="32">
        <f ca="1">OFFSET(AF2,$R$1,)</f>
        <v>0.6</v>
      </c>
      <c r="R4" s="32">
        <f ca="1">OFFSET(AG2,$R$1,)</f>
        <v>0.6</v>
      </c>
      <c r="S4" s="32">
        <f ca="1">OFFSET(AH2,$R$1,)</f>
        <v>0</v>
      </c>
      <c r="T4" t="s">
        <v>112</v>
      </c>
      <c r="U4" s="37">
        <v>0</v>
      </c>
      <c r="V4" s="37">
        <v>0</v>
      </c>
      <c r="W4" s="37">
        <v>0.72269376786820472</v>
      </c>
      <c r="X4" s="37">
        <v>0.6798540954284048</v>
      </c>
      <c r="Y4" s="37">
        <v>0.62070405973693543</v>
      </c>
      <c r="Z4" s="37">
        <v>0.52606821313114627</v>
      </c>
      <c r="AA4" s="37">
        <v>0.26944750436752729</v>
      </c>
      <c r="AB4" s="37">
        <v>0</v>
      </c>
      <c r="AC4" s="37">
        <v>0</v>
      </c>
      <c r="AE4" t="s">
        <v>117</v>
      </c>
      <c r="AF4" s="32">
        <v>0.6</v>
      </c>
      <c r="AG4" s="32">
        <v>8.9778832305893355E-2</v>
      </c>
      <c r="AH4" s="32">
        <v>0</v>
      </c>
      <c r="AI4" t="s">
        <v>117</v>
      </c>
      <c r="AJ4" s="43">
        <v>0</v>
      </c>
      <c r="AK4" s="43">
        <v>0.28893129179778426</v>
      </c>
      <c r="AL4" s="43">
        <v>0</v>
      </c>
      <c r="AM4" t="s">
        <v>117</v>
      </c>
      <c r="AN4" s="43">
        <f t="shared" si="0"/>
        <v>0.6</v>
      </c>
      <c r="AO4" s="43">
        <f t="shared" si="0"/>
        <v>0.3787101241036776</v>
      </c>
      <c r="AP4" s="43">
        <f t="shared" si="0"/>
        <v>0</v>
      </c>
    </row>
    <row r="5" spans="1:42" x14ac:dyDescent="0.25">
      <c r="C5">
        <v>2020</v>
      </c>
      <c r="D5">
        <v>4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1</v>
      </c>
      <c r="P5" s="40" t="s">
        <v>113</v>
      </c>
      <c r="Q5" s="4" t="s">
        <v>110</v>
      </c>
      <c r="R5" s="4" t="s">
        <v>111</v>
      </c>
      <c r="S5" t="s">
        <v>112</v>
      </c>
      <c r="T5" t="s">
        <v>124</v>
      </c>
      <c r="AE5" t="s">
        <v>118</v>
      </c>
      <c r="AF5" s="43">
        <v>0.6</v>
      </c>
      <c r="AG5" s="43">
        <v>0.52317577000256976</v>
      </c>
      <c r="AH5" s="43">
        <v>0</v>
      </c>
      <c r="AI5" t="s">
        <v>118</v>
      </c>
      <c r="AJ5" s="43">
        <v>0</v>
      </c>
      <c r="AK5" s="43">
        <v>7.6824229997430216E-2</v>
      </c>
      <c r="AL5" s="43">
        <v>0.25802498165977866</v>
      </c>
      <c r="AM5" t="s">
        <v>118</v>
      </c>
      <c r="AN5" s="43">
        <f t="shared" si="0"/>
        <v>0.6</v>
      </c>
      <c r="AO5" s="43">
        <f t="shared" si="0"/>
        <v>0.6</v>
      </c>
      <c r="AP5" s="43">
        <f t="shared" si="0"/>
        <v>0.25802498165977866</v>
      </c>
    </row>
    <row r="6" spans="1:42" x14ac:dyDescent="0.25">
      <c r="C6">
        <v>2020</v>
      </c>
      <c r="D6">
        <v>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1</v>
      </c>
      <c r="Q6">
        <v>0.125</v>
      </c>
      <c r="R6">
        <v>0</v>
      </c>
      <c r="S6">
        <v>0</v>
      </c>
      <c r="T6">
        <v>1</v>
      </c>
      <c r="U6" s="37">
        <v>0</v>
      </c>
      <c r="V6" s="37">
        <v>0</v>
      </c>
      <c r="W6" s="30">
        <f ca="1">W$2*$Q6*$Q$4+W$3*$R6*$R$4+W$4*$S6*$S$4+W5</f>
        <v>1.576848158797885E-2</v>
      </c>
      <c r="X6" s="30">
        <f t="shared" ref="X6:AC17" ca="1" si="1">X$2*$Q6*$Q$4+X$3*$R6*$R$4+X$4*$S6*$S$4+X5</f>
        <v>1.576848158797885E-2</v>
      </c>
      <c r="Y6" s="30">
        <f t="shared" ca="1" si="1"/>
        <v>1.576848158797885E-2</v>
      </c>
      <c r="Z6" s="30">
        <f t="shared" ca="1" si="1"/>
        <v>1.576848158797885E-2</v>
      </c>
      <c r="AA6" s="30">
        <f t="shared" ca="1" si="1"/>
        <v>0</v>
      </c>
      <c r="AB6" s="30">
        <f t="shared" ca="1" si="1"/>
        <v>0</v>
      </c>
      <c r="AC6" s="30">
        <f t="shared" ca="1" si="1"/>
        <v>0</v>
      </c>
      <c r="AE6" t="s">
        <v>94</v>
      </c>
      <c r="AF6" s="32">
        <v>0.6</v>
      </c>
      <c r="AG6" s="32">
        <v>8.9778832305893355E-2</v>
      </c>
      <c r="AH6" s="32">
        <v>0</v>
      </c>
      <c r="AI6" t="s">
        <v>94</v>
      </c>
      <c r="AJ6" s="43">
        <v>0.3</v>
      </c>
      <c r="AK6" s="43">
        <v>0.81022116769410668</v>
      </c>
      <c r="AL6" s="43">
        <v>0.41981140575823667</v>
      </c>
      <c r="AM6" t="s">
        <v>94</v>
      </c>
      <c r="AN6" s="43">
        <f t="shared" si="0"/>
        <v>0.89999999999999991</v>
      </c>
      <c r="AO6" s="43">
        <f t="shared" si="0"/>
        <v>0.9</v>
      </c>
      <c r="AP6" s="43">
        <f t="shared" si="0"/>
        <v>0.41981140575823667</v>
      </c>
    </row>
    <row r="7" spans="1:42" x14ac:dyDescent="0.25">
      <c r="C7">
        <v>2020</v>
      </c>
      <c r="D7">
        <v>6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1</v>
      </c>
      <c r="Q7">
        <v>0.125</v>
      </c>
      <c r="R7">
        <v>0</v>
      </c>
      <c r="S7">
        <v>0</v>
      </c>
      <c r="T7">
        <v>2</v>
      </c>
      <c r="U7" s="37">
        <v>0</v>
      </c>
      <c r="V7" s="37">
        <v>0</v>
      </c>
      <c r="W7" s="30">
        <f t="shared" ref="W7:AC22" ca="1" si="2">W$2*$Q7*$Q$4+W$3*$R7*$R$4+W$4*$S7*$S$4+W6</f>
        <v>3.1536963175957701E-2</v>
      </c>
      <c r="X7" s="30">
        <f t="shared" ca="1" si="1"/>
        <v>3.1536963175957701E-2</v>
      </c>
      <c r="Y7" s="30">
        <f t="shared" ca="1" si="1"/>
        <v>3.1536963175957701E-2</v>
      </c>
      <c r="Z7" s="30">
        <f t="shared" ca="1" si="1"/>
        <v>3.1536963175957701E-2</v>
      </c>
      <c r="AA7" s="30">
        <f t="shared" ca="1" si="1"/>
        <v>0</v>
      </c>
      <c r="AB7" s="30">
        <f t="shared" ca="1" si="1"/>
        <v>0</v>
      </c>
      <c r="AC7" s="30">
        <f t="shared" ca="1" si="1"/>
        <v>0</v>
      </c>
      <c r="AE7" t="s">
        <v>119</v>
      </c>
      <c r="AF7" s="43">
        <v>0.6</v>
      </c>
      <c r="AG7" s="43">
        <v>0.52317577000256976</v>
      </c>
      <c r="AH7" s="43">
        <v>0</v>
      </c>
      <c r="AI7" t="s">
        <v>119</v>
      </c>
      <c r="AJ7" s="43">
        <v>0.3</v>
      </c>
      <c r="AK7" s="43">
        <v>0.38</v>
      </c>
      <c r="AL7" s="43">
        <v>0.88</v>
      </c>
      <c r="AM7" t="s">
        <v>119</v>
      </c>
      <c r="AN7" s="43">
        <f t="shared" si="0"/>
        <v>0.89999999999999991</v>
      </c>
      <c r="AO7" s="43">
        <f t="shared" si="0"/>
        <v>0.90317577000256977</v>
      </c>
      <c r="AP7" s="43">
        <f t="shared" si="0"/>
        <v>0.88</v>
      </c>
    </row>
    <row r="8" spans="1:42" x14ac:dyDescent="0.25">
      <c r="C8">
        <v>2020</v>
      </c>
      <c r="D8">
        <v>7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1</v>
      </c>
      <c r="Q8">
        <v>0.125</v>
      </c>
      <c r="R8">
        <v>0</v>
      </c>
      <c r="S8">
        <v>0</v>
      </c>
      <c r="T8">
        <v>3</v>
      </c>
      <c r="U8" s="37">
        <v>0</v>
      </c>
      <c r="V8" s="37">
        <v>0</v>
      </c>
      <c r="W8" s="30">
        <f t="shared" ca="1" si="2"/>
        <v>4.7305444763936555E-2</v>
      </c>
      <c r="X8" s="30">
        <f t="shared" ca="1" si="1"/>
        <v>4.7305444763936555E-2</v>
      </c>
      <c r="Y8" s="30">
        <f t="shared" ca="1" si="1"/>
        <v>4.7305444763936555E-2</v>
      </c>
      <c r="Z8" s="30">
        <f t="shared" ca="1" si="1"/>
        <v>4.7305444763936555E-2</v>
      </c>
      <c r="AA8" s="30">
        <f t="shared" ca="1" si="1"/>
        <v>0</v>
      </c>
      <c r="AB8" s="30">
        <f t="shared" ca="1" si="1"/>
        <v>0</v>
      </c>
      <c r="AC8" s="30">
        <f t="shared" ca="1" si="1"/>
        <v>0</v>
      </c>
      <c r="AE8" t="s">
        <v>419</v>
      </c>
      <c r="AF8" s="43">
        <v>0.65</v>
      </c>
      <c r="AG8" s="43">
        <f>+AF8</f>
        <v>0.65</v>
      </c>
      <c r="AH8" s="16">
        <v>0</v>
      </c>
      <c r="AI8" t="s">
        <v>419</v>
      </c>
      <c r="AJ8" s="43">
        <v>0</v>
      </c>
      <c r="AK8" s="43">
        <f>+AJ8</f>
        <v>0</v>
      </c>
      <c r="AL8" s="43">
        <v>0.65</v>
      </c>
      <c r="AM8" t="str">
        <f>+AE8</f>
        <v>SC1_65</v>
      </c>
      <c r="AN8" s="37">
        <f t="shared" ref="AN8:AO8" si="3">+AF8</f>
        <v>0.65</v>
      </c>
      <c r="AO8" s="37">
        <f t="shared" si="3"/>
        <v>0.65</v>
      </c>
      <c r="AP8" s="43">
        <f>+AO8</f>
        <v>0.65</v>
      </c>
    </row>
    <row r="9" spans="1:42" x14ac:dyDescent="0.25">
      <c r="C9">
        <v>2020</v>
      </c>
      <c r="D9">
        <v>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1</v>
      </c>
      <c r="Q9">
        <v>0.125</v>
      </c>
      <c r="R9">
        <v>0</v>
      </c>
      <c r="S9">
        <v>0</v>
      </c>
      <c r="T9">
        <v>4</v>
      </c>
      <c r="U9" s="37">
        <v>0</v>
      </c>
      <c r="V9" s="37">
        <v>0</v>
      </c>
      <c r="W9" s="30">
        <f t="shared" ca="1" si="2"/>
        <v>6.3073926351915402E-2</v>
      </c>
      <c r="X9" s="30">
        <f t="shared" ca="1" si="1"/>
        <v>6.3073926351915402E-2</v>
      </c>
      <c r="Y9" s="30">
        <f t="shared" ca="1" si="1"/>
        <v>6.3073926351915402E-2</v>
      </c>
      <c r="Z9" s="30">
        <f t="shared" ca="1" si="1"/>
        <v>6.3073926351915402E-2</v>
      </c>
      <c r="AA9" s="30">
        <f t="shared" ca="1" si="1"/>
        <v>0</v>
      </c>
      <c r="AB9" s="30">
        <f t="shared" ca="1" si="1"/>
        <v>0</v>
      </c>
      <c r="AC9" s="30">
        <f t="shared" ca="1" si="1"/>
        <v>0</v>
      </c>
      <c r="AE9" t="s">
        <v>420</v>
      </c>
      <c r="AF9" s="43">
        <v>0.7</v>
      </c>
      <c r="AG9" s="43">
        <f>+AF9</f>
        <v>0.7</v>
      </c>
      <c r="AH9" s="16">
        <v>0</v>
      </c>
      <c r="AI9" t="s">
        <v>420</v>
      </c>
      <c r="AJ9" s="43">
        <v>0</v>
      </c>
      <c r="AK9" s="43">
        <f>+AJ9</f>
        <v>0</v>
      </c>
      <c r="AL9" s="43">
        <v>0.7</v>
      </c>
      <c r="AM9" t="str">
        <f>+AE9</f>
        <v>SC1_70</v>
      </c>
      <c r="AN9" s="37">
        <f t="shared" ref="AN9" si="4">+AF9</f>
        <v>0.7</v>
      </c>
      <c r="AO9" s="37">
        <f t="shared" ref="AO9" si="5">+AG9</f>
        <v>0.7</v>
      </c>
      <c r="AP9" s="43">
        <f>+AO9</f>
        <v>0.7</v>
      </c>
    </row>
    <row r="10" spans="1:42" x14ac:dyDescent="0.25">
      <c r="C10">
        <v>2020</v>
      </c>
      <c r="D10">
        <v>9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1</v>
      </c>
      <c r="Q10">
        <v>0.125</v>
      </c>
      <c r="R10">
        <v>0</v>
      </c>
      <c r="S10">
        <v>0</v>
      </c>
      <c r="T10">
        <v>5</v>
      </c>
      <c r="U10" s="37">
        <v>0</v>
      </c>
      <c r="V10" s="37">
        <v>0</v>
      </c>
      <c r="W10" s="30">
        <f t="shared" ca="1" si="2"/>
        <v>7.8842407939894249E-2</v>
      </c>
      <c r="X10" s="30">
        <f t="shared" ca="1" si="1"/>
        <v>7.8842407939894249E-2</v>
      </c>
      <c r="Y10" s="30">
        <f t="shared" ca="1" si="1"/>
        <v>7.8842407939894249E-2</v>
      </c>
      <c r="Z10" s="30">
        <f t="shared" ca="1" si="1"/>
        <v>7.8842407939894249E-2</v>
      </c>
      <c r="AA10" s="30">
        <f t="shared" ca="1" si="1"/>
        <v>0</v>
      </c>
      <c r="AB10" s="30">
        <f t="shared" ca="1" si="1"/>
        <v>0</v>
      </c>
      <c r="AC10" s="30">
        <f t="shared" ca="1" si="1"/>
        <v>0</v>
      </c>
      <c r="AE10" t="s">
        <v>421</v>
      </c>
      <c r="AF10" s="43">
        <v>0.75</v>
      </c>
      <c r="AG10" s="43">
        <f>+AF10</f>
        <v>0.75</v>
      </c>
      <c r="AH10" s="16">
        <v>0</v>
      </c>
      <c r="AI10" t="s">
        <v>421</v>
      </c>
      <c r="AJ10" s="43">
        <v>0</v>
      </c>
      <c r="AK10" s="43">
        <f>+AJ10</f>
        <v>0</v>
      </c>
      <c r="AL10" s="43">
        <v>0.75</v>
      </c>
      <c r="AM10" t="str">
        <f>+AE10</f>
        <v>SC1_75</v>
      </c>
      <c r="AN10" s="37">
        <f t="shared" ref="AN10" si="6">+AF10</f>
        <v>0.75</v>
      </c>
      <c r="AO10" s="37">
        <f t="shared" ref="AO10" si="7">+AG10</f>
        <v>0.75</v>
      </c>
      <c r="AP10" s="43">
        <f>+AO10</f>
        <v>0.75</v>
      </c>
    </row>
    <row r="11" spans="1:42" x14ac:dyDescent="0.25">
      <c r="C11">
        <v>2020</v>
      </c>
      <c r="D11">
        <v>10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1</v>
      </c>
      <c r="Q11">
        <v>0.125</v>
      </c>
      <c r="R11">
        <v>0</v>
      </c>
      <c r="S11">
        <v>0</v>
      </c>
      <c r="T11">
        <v>6</v>
      </c>
      <c r="U11" s="37">
        <v>0</v>
      </c>
      <c r="V11" s="37">
        <v>0</v>
      </c>
      <c r="W11" s="30">
        <f t="shared" ca="1" si="2"/>
        <v>9.4610889527873096E-2</v>
      </c>
      <c r="X11" s="30">
        <f t="shared" ca="1" si="1"/>
        <v>9.4610889527873096E-2</v>
      </c>
      <c r="Y11" s="30">
        <f t="shared" ca="1" si="1"/>
        <v>9.4610889527873096E-2</v>
      </c>
      <c r="Z11" s="30">
        <f t="shared" ca="1" si="1"/>
        <v>9.4610889527873096E-2</v>
      </c>
      <c r="AA11" s="30">
        <f t="shared" ca="1" si="1"/>
        <v>0</v>
      </c>
      <c r="AB11" s="30">
        <f t="shared" ca="1" si="1"/>
        <v>0</v>
      </c>
      <c r="AC11" s="30">
        <f t="shared" ca="1" si="1"/>
        <v>0</v>
      </c>
    </row>
    <row r="12" spans="1:42" x14ac:dyDescent="0.25">
      <c r="C12">
        <v>2020</v>
      </c>
      <c r="D12">
        <v>11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1</v>
      </c>
      <c r="Q12">
        <v>0.125</v>
      </c>
      <c r="R12">
        <v>0</v>
      </c>
      <c r="S12">
        <v>0</v>
      </c>
      <c r="T12">
        <v>7</v>
      </c>
      <c r="U12" s="37">
        <v>0</v>
      </c>
      <c r="V12" s="37">
        <v>0</v>
      </c>
      <c r="W12" s="30">
        <f t="shared" ca="1" si="2"/>
        <v>0.11037937111585194</v>
      </c>
      <c r="X12" s="30">
        <f t="shared" ca="1" si="1"/>
        <v>0.11037937111585194</v>
      </c>
      <c r="Y12" s="30">
        <f t="shared" ca="1" si="1"/>
        <v>0.11037937111585194</v>
      </c>
      <c r="Z12" s="30">
        <f t="shared" ca="1" si="1"/>
        <v>0.11037937111585194</v>
      </c>
      <c r="AA12" s="30">
        <f t="shared" ca="1" si="1"/>
        <v>0</v>
      </c>
      <c r="AB12" s="30">
        <f t="shared" ca="1" si="1"/>
        <v>0</v>
      </c>
      <c r="AC12" s="30">
        <f t="shared" ca="1" si="1"/>
        <v>0</v>
      </c>
    </row>
    <row r="13" spans="1:42" x14ac:dyDescent="0.25">
      <c r="C13">
        <v>2020</v>
      </c>
      <c r="D13">
        <v>12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1</v>
      </c>
      <c r="Q13">
        <v>0.125</v>
      </c>
      <c r="R13">
        <v>0</v>
      </c>
      <c r="S13">
        <v>0</v>
      </c>
      <c r="T13">
        <v>8</v>
      </c>
      <c r="U13" s="37">
        <v>0</v>
      </c>
      <c r="V13" s="37">
        <v>0</v>
      </c>
      <c r="W13" s="30">
        <f t="shared" ca="1" si="2"/>
        <v>0.1261478527038308</v>
      </c>
      <c r="X13" s="30">
        <f t="shared" ca="1" si="1"/>
        <v>0.1261478527038308</v>
      </c>
      <c r="Y13" s="30">
        <f t="shared" ca="1" si="1"/>
        <v>0.1261478527038308</v>
      </c>
      <c r="Z13" s="30">
        <f t="shared" ca="1" si="1"/>
        <v>0.1261478527038308</v>
      </c>
      <c r="AA13" s="30">
        <f t="shared" ca="1" si="1"/>
        <v>0</v>
      </c>
      <c r="AB13" s="30">
        <f t="shared" ca="1" si="1"/>
        <v>0</v>
      </c>
      <c r="AC13" s="30">
        <f t="shared" ca="1" si="1"/>
        <v>0</v>
      </c>
    </row>
    <row r="14" spans="1:42" x14ac:dyDescent="0.25">
      <c r="C14">
        <v>2020</v>
      </c>
      <c r="D14">
        <v>13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1</v>
      </c>
      <c r="Q14">
        <v>0</v>
      </c>
      <c r="R14">
        <f>1/18</f>
        <v>5.5555555555555552E-2</v>
      </c>
      <c r="S14">
        <v>0</v>
      </c>
      <c r="T14">
        <v>9</v>
      </c>
      <c r="U14" s="37">
        <v>0</v>
      </c>
      <c r="V14" s="37">
        <v>0</v>
      </c>
      <c r="W14" s="30">
        <f t="shared" ca="1" si="2"/>
        <v>0.12838317973578894</v>
      </c>
      <c r="X14" s="30">
        <f t="shared" ca="1" si="1"/>
        <v>0.1298111688171156</v>
      </c>
      <c r="Y14" s="30">
        <f t="shared" ca="1" si="1"/>
        <v>0.13178283667349791</v>
      </c>
      <c r="Z14" s="30">
        <f t="shared" ca="1" si="1"/>
        <v>0.13493736489369088</v>
      </c>
      <c r="AA14" s="30">
        <f t="shared" ca="1" si="1"/>
        <v>2.4351749854415752E-2</v>
      </c>
      <c r="AB14" s="30">
        <f t="shared" ca="1" si="1"/>
        <v>3.3333333333333333E-2</v>
      </c>
      <c r="AC14" s="30">
        <f t="shared" ca="1" si="1"/>
        <v>3.3333333333333333E-2</v>
      </c>
    </row>
    <row r="15" spans="1:42" x14ac:dyDescent="0.25">
      <c r="C15">
        <v>2020</v>
      </c>
      <c r="D15">
        <v>14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1</v>
      </c>
      <c r="Q15">
        <v>0</v>
      </c>
      <c r="R15">
        <f t="shared" ref="R15:R31" si="8">1/18</f>
        <v>5.5555555555555552E-2</v>
      </c>
      <c r="S15">
        <v>0</v>
      </c>
      <c r="T15">
        <v>10</v>
      </c>
      <c r="U15" s="37">
        <v>0</v>
      </c>
      <c r="V15" s="37">
        <v>0</v>
      </c>
      <c r="W15" s="30">
        <f t="shared" ca="1" si="2"/>
        <v>0.13061850676774708</v>
      </c>
      <c r="X15" s="30">
        <f t="shared" ca="1" si="1"/>
        <v>0.1334744849304004</v>
      </c>
      <c r="Y15" s="30">
        <f t="shared" ca="1" si="1"/>
        <v>0.13741782064316502</v>
      </c>
      <c r="Z15" s="30">
        <f t="shared" ca="1" si="1"/>
        <v>0.14372687708355095</v>
      </c>
      <c r="AA15" s="30">
        <f t="shared" ca="1" si="1"/>
        <v>4.8703499708831505E-2</v>
      </c>
      <c r="AB15" s="30">
        <f t="shared" ca="1" si="1"/>
        <v>6.6666666666666666E-2</v>
      </c>
      <c r="AC15" s="30">
        <f t="shared" ca="1" si="1"/>
        <v>6.6666666666666666E-2</v>
      </c>
    </row>
    <row r="16" spans="1:42" x14ac:dyDescent="0.25">
      <c r="C16">
        <v>2020</v>
      </c>
      <c r="D16">
        <v>15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</v>
      </c>
      <c r="Q16">
        <v>0</v>
      </c>
      <c r="R16">
        <f t="shared" si="8"/>
        <v>5.5555555555555552E-2</v>
      </c>
      <c r="S16">
        <v>0</v>
      </c>
      <c r="T16">
        <v>11</v>
      </c>
      <c r="U16" s="37">
        <v>0</v>
      </c>
      <c r="V16" s="37">
        <v>0</v>
      </c>
      <c r="W16" s="30">
        <f t="shared" ca="1" si="2"/>
        <v>0.13285383379970522</v>
      </c>
      <c r="X16" s="30">
        <f t="shared" ca="1" si="1"/>
        <v>0.1371378010436852</v>
      </c>
      <c r="Y16" s="30">
        <f t="shared" ca="1" si="1"/>
        <v>0.14305280461283212</v>
      </c>
      <c r="Z16" s="30">
        <f t="shared" ca="1" si="1"/>
        <v>0.15251638927341102</v>
      </c>
      <c r="AA16" s="30">
        <f t="shared" ca="1" si="1"/>
        <v>7.3055249563247257E-2</v>
      </c>
      <c r="AB16" s="30">
        <f t="shared" ca="1" si="1"/>
        <v>0.1</v>
      </c>
      <c r="AC16" s="30">
        <f t="shared" ca="1" si="1"/>
        <v>0.1</v>
      </c>
    </row>
    <row r="17" spans="3:29" x14ac:dyDescent="0.25">
      <c r="C17">
        <v>2020</v>
      </c>
      <c r="D17">
        <v>16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1</v>
      </c>
      <c r="Q17">
        <v>0</v>
      </c>
      <c r="R17">
        <f t="shared" si="8"/>
        <v>5.5555555555555552E-2</v>
      </c>
      <c r="S17">
        <v>0</v>
      </c>
      <c r="T17">
        <v>12</v>
      </c>
      <c r="U17" s="37">
        <v>0</v>
      </c>
      <c r="V17" s="37">
        <v>0</v>
      </c>
      <c r="W17" s="30">
        <f t="shared" ca="1" si="2"/>
        <v>0.13508916083166336</v>
      </c>
      <c r="X17" s="30">
        <f t="shared" ca="1" si="1"/>
        <v>0.14080111715697</v>
      </c>
      <c r="Y17" s="30">
        <f t="shared" ca="1" si="1"/>
        <v>0.14868778858249923</v>
      </c>
      <c r="Z17" s="30">
        <f t="shared" ca="1" si="1"/>
        <v>0.16130590146327109</v>
      </c>
      <c r="AA17" s="30">
        <f t="shared" ca="1" si="1"/>
        <v>9.7406999417663009E-2</v>
      </c>
      <c r="AB17" s="30">
        <f t="shared" ca="1" si="1"/>
        <v>0.13333333333333333</v>
      </c>
      <c r="AC17" s="30">
        <f t="shared" ca="1" si="1"/>
        <v>0.13333333333333333</v>
      </c>
    </row>
    <row r="18" spans="3:29" x14ac:dyDescent="0.25">
      <c r="C18">
        <v>2020</v>
      </c>
      <c r="D18">
        <v>17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1</v>
      </c>
      <c r="Q18">
        <v>0</v>
      </c>
      <c r="R18">
        <f t="shared" si="8"/>
        <v>5.5555555555555552E-2</v>
      </c>
      <c r="S18">
        <v>0</v>
      </c>
      <c r="T18">
        <v>13</v>
      </c>
      <c r="U18" s="37">
        <v>0</v>
      </c>
      <c r="V18" s="37">
        <v>0</v>
      </c>
      <c r="W18" s="30">
        <f t="shared" ca="1" si="2"/>
        <v>0.1373244878636215</v>
      </c>
      <c r="X18" s="30">
        <f t="shared" ca="1" si="2"/>
        <v>0.14446443327025479</v>
      </c>
      <c r="Y18" s="30">
        <f t="shared" ca="1" si="2"/>
        <v>0.15432277255216634</v>
      </c>
      <c r="Z18" s="30">
        <f t="shared" ca="1" si="2"/>
        <v>0.17009541365313116</v>
      </c>
      <c r="AA18" s="30">
        <f t="shared" ca="1" si="2"/>
        <v>0.12175874927207876</v>
      </c>
      <c r="AB18" s="30">
        <f t="shared" ca="1" si="2"/>
        <v>0.16666666666666666</v>
      </c>
      <c r="AC18" s="30">
        <f t="shared" ca="1" si="2"/>
        <v>0.16666666666666666</v>
      </c>
    </row>
    <row r="19" spans="3:29" x14ac:dyDescent="0.25">
      <c r="C19">
        <v>2020</v>
      </c>
      <c r="D19">
        <v>18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1</v>
      </c>
      <c r="Q19">
        <v>0</v>
      </c>
      <c r="R19">
        <f t="shared" si="8"/>
        <v>5.5555555555555552E-2</v>
      </c>
      <c r="S19">
        <v>0</v>
      </c>
      <c r="T19">
        <v>14</v>
      </c>
      <c r="U19" s="37">
        <v>0</v>
      </c>
      <c r="V19" s="37">
        <v>0</v>
      </c>
      <c r="W19" s="30">
        <f t="shared" ca="1" si="2"/>
        <v>0.13955981489557964</v>
      </c>
      <c r="X19" s="30">
        <f t="shared" ca="1" si="2"/>
        <v>0.14812774938353959</v>
      </c>
      <c r="Y19" s="30">
        <f t="shared" ca="1" si="2"/>
        <v>0.15995775652183344</v>
      </c>
      <c r="Z19" s="30">
        <f t="shared" ca="1" si="2"/>
        <v>0.17888492584299123</v>
      </c>
      <c r="AA19" s="30">
        <f t="shared" ca="1" si="2"/>
        <v>0.14611049912649451</v>
      </c>
      <c r="AB19" s="30">
        <f t="shared" ca="1" si="2"/>
        <v>0.19999999999999998</v>
      </c>
      <c r="AC19" s="30">
        <f t="shared" ca="1" si="2"/>
        <v>0.19999999999999998</v>
      </c>
    </row>
    <row r="20" spans="3:29" x14ac:dyDescent="0.25">
      <c r="C20">
        <v>2020</v>
      </c>
      <c r="D20">
        <v>19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1</v>
      </c>
      <c r="Q20">
        <v>0</v>
      </c>
      <c r="R20">
        <f t="shared" si="8"/>
        <v>5.5555555555555552E-2</v>
      </c>
      <c r="S20">
        <v>0</v>
      </c>
      <c r="T20">
        <v>15</v>
      </c>
      <c r="U20" s="37">
        <v>0</v>
      </c>
      <c r="V20" s="37">
        <v>0</v>
      </c>
      <c r="W20" s="30">
        <f t="shared" ca="1" si="2"/>
        <v>0.14179514192753778</v>
      </c>
      <c r="X20" s="30">
        <f t="shared" ca="1" si="2"/>
        <v>0.15179106549682439</v>
      </c>
      <c r="Y20" s="30">
        <f t="shared" ca="1" si="2"/>
        <v>0.16559274049150055</v>
      </c>
      <c r="Z20" s="30">
        <f t="shared" ca="1" si="2"/>
        <v>0.1876744380328513</v>
      </c>
      <c r="AA20" s="30">
        <f t="shared" ca="1" si="2"/>
        <v>0.17046224898091028</v>
      </c>
      <c r="AB20" s="30">
        <f t="shared" ca="1" si="2"/>
        <v>0.23333333333333331</v>
      </c>
      <c r="AC20" s="30">
        <f t="shared" ca="1" si="2"/>
        <v>0.23333333333333331</v>
      </c>
    </row>
    <row r="21" spans="3:29" x14ac:dyDescent="0.25">
      <c r="C21">
        <v>2020</v>
      </c>
      <c r="D21">
        <v>20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1</v>
      </c>
      <c r="Q21">
        <v>0</v>
      </c>
      <c r="R21">
        <f t="shared" si="8"/>
        <v>5.5555555555555552E-2</v>
      </c>
      <c r="S21">
        <v>0</v>
      </c>
      <c r="T21">
        <v>16</v>
      </c>
      <c r="U21" s="37">
        <v>0</v>
      </c>
      <c r="V21" s="37">
        <v>0</v>
      </c>
      <c r="W21" s="30">
        <f t="shared" ca="1" si="2"/>
        <v>0.14403046895949592</v>
      </c>
      <c r="X21" s="30">
        <f t="shared" ca="1" si="2"/>
        <v>0.15545438161010919</v>
      </c>
      <c r="Y21" s="30">
        <f t="shared" ca="1" si="2"/>
        <v>0.17122772446116766</v>
      </c>
      <c r="Z21" s="30">
        <f t="shared" ca="1" si="2"/>
        <v>0.19646395022271138</v>
      </c>
      <c r="AA21" s="30">
        <f t="shared" ca="1" si="2"/>
        <v>0.19481399883532602</v>
      </c>
      <c r="AB21" s="30">
        <f t="shared" ca="1" si="2"/>
        <v>0.26666666666666666</v>
      </c>
      <c r="AC21" s="30">
        <f t="shared" ca="1" si="2"/>
        <v>0.26666666666666666</v>
      </c>
    </row>
    <row r="22" spans="3:29" x14ac:dyDescent="0.25">
      <c r="C22">
        <v>2020</v>
      </c>
      <c r="D22">
        <v>21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1</v>
      </c>
      <c r="Q22">
        <v>0</v>
      </c>
      <c r="R22">
        <f t="shared" si="8"/>
        <v>5.5555555555555552E-2</v>
      </c>
      <c r="S22">
        <v>0</v>
      </c>
      <c r="T22">
        <v>17</v>
      </c>
      <c r="U22" s="37">
        <v>0</v>
      </c>
      <c r="V22" s="37">
        <v>0</v>
      </c>
      <c r="W22" s="30">
        <f t="shared" ca="1" si="2"/>
        <v>0.14626579599145406</v>
      </c>
      <c r="X22" s="30">
        <f t="shared" ca="1" si="2"/>
        <v>0.15911769772339399</v>
      </c>
      <c r="Y22" s="30">
        <f t="shared" ca="1" si="2"/>
        <v>0.17686270843083476</v>
      </c>
      <c r="Z22" s="30">
        <f t="shared" ca="1" si="2"/>
        <v>0.20525346241257145</v>
      </c>
      <c r="AA22" s="30">
        <f t="shared" ca="1" si="2"/>
        <v>0.21916574868974176</v>
      </c>
      <c r="AB22" s="30">
        <f t="shared" ca="1" si="2"/>
        <v>0.3</v>
      </c>
      <c r="AC22" s="30">
        <f t="shared" ca="1" si="2"/>
        <v>0.3</v>
      </c>
    </row>
    <row r="23" spans="3:29" x14ac:dyDescent="0.25">
      <c r="C23">
        <v>2020</v>
      </c>
      <c r="D23">
        <v>22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1</v>
      </c>
      <c r="Q23">
        <v>0</v>
      </c>
      <c r="R23">
        <f t="shared" si="8"/>
        <v>5.5555555555555552E-2</v>
      </c>
      <c r="S23">
        <v>0</v>
      </c>
      <c r="T23">
        <v>18</v>
      </c>
      <c r="U23" s="37">
        <v>0</v>
      </c>
      <c r="V23" s="37">
        <v>0</v>
      </c>
      <c r="W23" s="30">
        <f t="shared" ref="W23:AC38" ca="1" si="9">W$2*$Q23*$Q$4+W$3*$R23*$R$4+W$4*$S23*$S$4+W22</f>
        <v>0.1485011230234122</v>
      </c>
      <c r="X23" s="30">
        <f t="shared" ca="1" si="9"/>
        <v>0.16278101383667878</v>
      </c>
      <c r="Y23" s="30">
        <f t="shared" ca="1" si="9"/>
        <v>0.18249769240050187</v>
      </c>
      <c r="Z23" s="30">
        <f t="shared" ca="1" si="9"/>
        <v>0.21404297460243152</v>
      </c>
      <c r="AA23" s="30">
        <f t="shared" ca="1" si="9"/>
        <v>0.2435174985441575</v>
      </c>
      <c r="AB23" s="30">
        <f t="shared" ca="1" si="9"/>
        <v>0.33333333333333331</v>
      </c>
      <c r="AC23" s="30">
        <f t="shared" ca="1" si="9"/>
        <v>0.33333333333333331</v>
      </c>
    </row>
    <row r="24" spans="3:29" x14ac:dyDescent="0.25">
      <c r="C24">
        <v>2020</v>
      </c>
      <c r="D24">
        <v>23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1</v>
      </c>
      <c r="Q24">
        <v>0</v>
      </c>
      <c r="R24">
        <f t="shared" si="8"/>
        <v>5.5555555555555552E-2</v>
      </c>
      <c r="S24">
        <v>0</v>
      </c>
      <c r="T24">
        <v>19</v>
      </c>
      <c r="U24" s="37">
        <v>0</v>
      </c>
      <c r="V24" s="37">
        <v>0</v>
      </c>
      <c r="W24" s="30">
        <f t="shared" ca="1" si="9"/>
        <v>0.15073645005537034</v>
      </c>
      <c r="X24" s="30">
        <f t="shared" ca="1" si="9"/>
        <v>0.16644432994996358</v>
      </c>
      <c r="Y24" s="30">
        <f t="shared" ca="1" si="9"/>
        <v>0.18813267637016898</v>
      </c>
      <c r="Z24" s="30">
        <f t="shared" ca="1" si="9"/>
        <v>0.22283248679229159</v>
      </c>
      <c r="AA24" s="30">
        <f t="shared" ca="1" si="9"/>
        <v>0.26786924839857323</v>
      </c>
      <c r="AB24" s="30">
        <f t="shared" ca="1" si="9"/>
        <v>0.36666666666666664</v>
      </c>
      <c r="AC24" s="30">
        <f t="shared" ca="1" si="9"/>
        <v>0.36666666666666664</v>
      </c>
    </row>
    <row r="25" spans="3:29" x14ac:dyDescent="0.25">
      <c r="C25">
        <v>2020</v>
      </c>
      <c r="D25">
        <v>24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1</v>
      </c>
      <c r="Q25">
        <v>0</v>
      </c>
      <c r="R25">
        <f t="shared" si="8"/>
        <v>5.5555555555555552E-2</v>
      </c>
      <c r="S25">
        <v>0</v>
      </c>
      <c r="T25">
        <v>20</v>
      </c>
      <c r="U25" s="37">
        <v>0</v>
      </c>
      <c r="V25" s="37">
        <v>0</v>
      </c>
      <c r="W25" s="30">
        <f t="shared" ca="1" si="9"/>
        <v>0.15297177708732848</v>
      </c>
      <c r="X25" s="30">
        <f t="shared" ca="1" si="9"/>
        <v>0.17010764606324838</v>
      </c>
      <c r="Y25" s="30">
        <f t="shared" ca="1" si="9"/>
        <v>0.19376766033983608</v>
      </c>
      <c r="Z25" s="30">
        <f t="shared" ca="1" si="9"/>
        <v>0.23162199898215166</v>
      </c>
      <c r="AA25" s="30">
        <f t="shared" ca="1" si="9"/>
        <v>0.29222099825298897</v>
      </c>
      <c r="AB25" s="30">
        <f t="shared" ca="1" si="9"/>
        <v>0.39999999999999997</v>
      </c>
      <c r="AC25" s="30">
        <f t="shared" ca="1" si="9"/>
        <v>0.39999999999999997</v>
      </c>
    </row>
    <row r="26" spans="3:29" x14ac:dyDescent="0.25">
      <c r="C26">
        <v>2020</v>
      </c>
      <c r="D26">
        <v>25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1</v>
      </c>
      <c r="Q26">
        <v>0</v>
      </c>
      <c r="R26">
        <f t="shared" si="8"/>
        <v>5.5555555555555552E-2</v>
      </c>
      <c r="S26">
        <v>0</v>
      </c>
      <c r="T26">
        <v>21</v>
      </c>
      <c r="U26" s="37">
        <v>0</v>
      </c>
      <c r="V26" s="37">
        <v>0</v>
      </c>
      <c r="W26" s="30">
        <f t="shared" ca="1" si="9"/>
        <v>0.15520710411928662</v>
      </c>
      <c r="X26" s="30">
        <f t="shared" ca="1" si="9"/>
        <v>0.17377096217653318</v>
      </c>
      <c r="Y26" s="30">
        <f t="shared" ca="1" si="9"/>
        <v>0.19940264430950319</v>
      </c>
      <c r="Z26" s="30">
        <f t="shared" ca="1" si="9"/>
        <v>0.24041151117201173</v>
      </c>
      <c r="AA26" s="30">
        <f t="shared" ca="1" si="9"/>
        <v>0.31657274810740471</v>
      </c>
      <c r="AB26" s="30">
        <f t="shared" ca="1" si="9"/>
        <v>0.43333333333333329</v>
      </c>
      <c r="AC26" s="30">
        <f t="shared" ca="1" si="9"/>
        <v>0.43333333333333329</v>
      </c>
    </row>
    <row r="27" spans="3:29" x14ac:dyDescent="0.25">
      <c r="C27">
        <v>2020</v>
      </c>
      <c r="D27">
        <v>26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1</v>
      </c>
      <c r="Q27">
        <v>0</v>
      </c>
      <c r="R27">
        <f t="shared" si="8"/>
        <v>5.5555555555555552E-2</v>
      </c>
      <c r="S27">
        <v>0</v>
      </c>
      <c r="T27">
        <v>22</v>
      </c>
      <c r="U27" s="37">
        <v>0</v>
      </c>
      <c r="V27" s="37">
        <v>0</v>
      </c>
      <c r="W27" s="30">
        <f t="shared" ca="1" si="9"/>
        <v>0.15744243115124476</v>
      </c>
      <c r="X27" s="30">
        <f t="shared" ca="1" si="9"/>
        <v>0.17743427828981798</v>
      </c>
      <c r="Y27" s="30">
        <f t="shared" ca="1" si="9"/>
        <v>0.2050376282791703</v>
      </c>
      <c r="Z27" s="30">
        <f t="shared" ca="1" si="9"/>
        <v>0.2492010233618718</v>
      </c>
      <c r="AA27" s="30">
        <f t="shared" ca="1" si="9"/>
        <v>0.34092449796182045</v>
      </c>
      <c r="AB27" s="30">
        <f t="shared" ca="1" si="9"/>
        <v>0.46666666666666662</v>
      </c>
      <c r="AC27" s="30">
        <f t="shared" ca="1" si="9"/>
        <v>0.46666666666666662</v>
      </c>
    </row>
    <row r="28" spans="3:29" x14ac:dyDescent="0.25">
      <c r="C28">
        <v>2020</v>
      </c>
      <c r="D28">
        <v>27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1</v>
      </c>
      <c r="Q28">
        <v>0</v>
      </c>
      <c r="R28">
        <f t="shared" si="8"/>
        <v>5.5555555555555552E-2</v>
      </c>
      <c r="S28">
        <v>0</v>
      </c>
      <c r="T28">
        <v>23</v>
      </c>
      <c r="U28" s="37">
        <v>0</v>
      </c>
      <c r="V28" s="37">
        <v>0</v>
      </c>
      <c r="W28" s="30">
        <f t="shared" ca="1" si="9"/>
        <v>0.1596777581832029</v>
      </c>
      <c r="X28" s="30">
        <f t="shared" ca="1" si="9"/>
        <v>0.18109759440310277</v>
      </c>
      <c r="Y28" s="30">
        <f t="shared" ca="1" si="9"/>
        <v>0.2106726122488374</v>
      </c>
      <c r="Z28" s="30">
        <f t="shared" ca="1" si="9"/>
        <v>0.2579905355517319</v>
      </c>
      <c r="AA28" s="30">
        <f t="shared" ca="1" si="9"/>
        <v>0.36527624781623619</v>
      </c>
      <c r="AB28" s="30">
        <f t="shared" ca="1" si="9"/>
        <v>0.49999999999999994</v>
      </c>
      <c r="AC28" s="30">
        <f t="shared" ca="1" si="9"/>
        <v>0.49999999999999994</v>
      </c>
    </row>
    <row r="29" spans="3:29" x14ac:dyDescent="0.25">
      <c r="C29">
        <v>2020</v>
      </c>
      <c r="D29">
        <v>28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1</v>
      </c>
      <c r="Q29">
        <v>0</v>
      </c>
      <c r="R29">
        <f t="shared" si="8"/>
        <v>5.5555555555555552E-2</v>
      </c>
      <c r="S29">
        <v>0</v>
      </c>
      <c r="T29">
        <v>24</v>
      </c>
      <c r="U29" s="37">
        <v>0</v>
      </c>
      <c r="V29" s="37">
        <v>0</v>
      </c>
      <c r="W29" s="30">
        <f t="shared" ca="1" si="9"/>
        <v>0.16191308521516104</v>
      </c>
      <c r="X29" s="30">
        <f t="shared" ca="1" si="9"/>
        <v>0.18476091051638757</v>
      </c>
      <c r="Y29" s="30">
        <f t="shared" ca="1" si="9"/>
        <v>0.21630759621850451</v>
      </c>
      <c r="Z29" s="30">
        <f t="shared" ca="1" si="9"/>
        <v>0.26678004774159197</v>
      </c>
      <c r="AA29" s="30">
        <f t="shared" ca="1" si="9"/>
        <v>0.38962799767065193</v>
      </c>
      <c r="AB29" s="30">
        <f t="shared" ca="1" si="9"/>
        <v>0.53333333333333333</v>
      </c>
      <c r="AC29" s="30">
        <f t="shared" ca="1" si="9"/>
        <v>0.53333333333333333</v>
      </c>
    </row>
    <row r="30" spans="3:29" x14ac:dyDescent="0.25">
      <c r="C30">
        <v>2020</v>
      </c>
      <c r="D30">
        <v>29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1</v>
      </c>
      <c r="Q30">
        <v>0</v>
      </c>
      <c r="R30">
        <f t="shared" si="8"/>
        <v>5.5555555555555552E-2</v>
      </c>
      <c r="S30">
        <v>0</v>
      </c>
      <c r="T30">
        <v>25</v>
      </c>
      <c r="U30" s="37">
        <v>0</v>
      </c>
      <c r="V30" s="37">
        <v>0</v>
      </c>
      <c r="W30" s="30">
        <f t="shared" ca="1" si="9"/>
        <v>0.16414841224711918</v>
      </c>
      <c r="X30" s="30">
        <f t="shared" ca="1" si="9"/>
        <v>0.18842422662967237</v>
      </c>
      <c r="Y30" s="30">
        <f t="shared" ca="1" si="9"/>
        <v>0.22194258018817162</v>
      </c>
      <c r="Z30" s="30">
        <f t="shared" ca="1" si="9"/>
        <v>0.27556955993145205</v>
      </c>
      <c r="AA30" s="30">
        <f t="shared" ca="1" si="9"/>
        <v>0.41397974752506767</v>
      </c>
      <c r="AB30" s="30">
        <f t="shared" ca="1" si="9"/>
        <v>0.56666666666666665</v>
      </c>
      <c r="AC30" s="30">
        <f t="shared" ca="1" si="9"/>
        <v>0.56666666666666665</v>
      </c>
    </row>
    <row r="31" spans="3:29" x14ac:dyDescent="0.25">
      <c r="C31">
        <v>2020</v>
      </c>
      <c r="D31">
        <v>30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1</v>
      </c>
      <c r="Q31">
        <v>0</v>
      </c>
      <c r="R31">
        <f t="shared" si="8"/>
        <v>5.5555555555555552E-2</v>
      </c>
      <c r="S31">
        <v>0</v>
      </c>
      <c r="T31">
        <v>26</v>
      </c>
      <c r="U31" s="37">
        <v>0</v>
      </c>
      <c r="V31" s="37">
        <v>0</v>
      </c>
      <c r="W31" s="30">
        <f t="shared" ca="1" si="9"/>
        <v>0.16638373927907732</v>
      </c>
      <c r="X31" s="30">
        <f t="shared" ca="1" si="9"/>
        <v>0.19208754274295717</v>
      </c>
      <c r="Y31" s="30">
        <f t="shared" ca="1" si="9"/>
        <v>0.22757756415783872</v>
      </c>
      <c r="Z31" s="30">
        <f t="shared" ca="1" si="9"/>
        <v>0.28435907212131212</v>
      </c>
      <c r="AA31" s="30">
        <f t="shared" ca="1" si="9"/>
        <v>0.4383314973794834</v>
      </c>
      <c r="AB31" s="30">
        <f t="shared" ca="1" si="9"/>
        <v>0.6</v>
      </c>
      <c r="AC31" s="30">
        <f t="shared" ca="1" si="9"/>
        <v>0.6</v>
      </c>
    </row>
    <row r="32" spans="3:29" x14ac:dyDescent="0.25">
      <c r="C32">
        <v>2020</v>
      </c>
      <c r="D32">
        <v>31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1</v>
      </c>
      <c r="Q32">
        <v>0</v>
      </c>
      <c r="R32">
        <v>0</v>
      </c>
      <c r="S32">
        <v>0</v>
      </c>
      <c r="T32">
        <v>27</v>
      </c>
      <c r="U32" s="37">
        <v>0</v>
      </c>
      <c r="V32" s="37">
        <v>0</v>
      </c>
      <c r="W32" s="30">
        <f t="shared" ca="1" si="9"/>
        <v>0.16638373927907732</v>
      </c>
      <c r="X32" s="30">
        <f t="shared" ca="1" si="9"/>
        <v>0.19208754274295717</v>
      </c>
      <c r="Y32" s="30">
        <f t="shared" ca="1" si="9"/>
        <v>0.22757756415783872</v>
      </c>
      <c r="Z32" s="30">
        <f t="shared" ca="1" si="9"/>
        <v>0.28435907212131212</v>
      </c>
      <c r="AA32" s="30">
        <f t="shared" ca="1" si="9"/>
        <v>0.4383314973794834</v>
      </c>
      <c r="AB32" s="30">
        <f t="shared" ca="1" si="9"/>
        <v>0.6</v>
      </c>
      <c r="AC32" s="30">
        <f t="shared" ca="1" si="9"/>
        <v>0.6</v>
      </c>
    </row>
    <row r="33" spans="3:29" x14ac:dyDescent="0.25">
      <c r="C33">
        <v>2020</v>
      </c>
      <c r="D33">
        <v>32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1</v>
      </c>
      <c r="Q33">
        <v>0</v>
      </c>
      <c r="R33">
        <v>0</v>
      </c>
      <c r="S33">
        <v>0</v>
      </c>
      <c r="T33">
        <v>28</v>
      </c>
      <c r="U33" s="37">
        <v>0</v>
      </c>
      <c r="V33" s="37">
        <v>0</v>
      </c>
      <c r="W33" s="30">
        <f t="shared" ca="1" si="9"/>
        <v>0.16638373927907732</v>
      </c>
      <c r="X33" s="30">
        <f t="shared" ca="1" si="9"/>
        <v>0.19208754274295717</v>
      </c>
      <c r="Y33" s="30">
        <f t="shared" ca="1" si="9"/>
        <v>0.22757756415783872</v>
      </c>
      <c r="Z33" s="30">
        <f t="shared" ca="1" si="9"/>
        <v>0.28435907212131212</v>
      </c>
      <c r="AA33" s="30">
        <f t="shared" ca="1" si="9"/>
        <v>0.4383314973794834</v>
      </c>
      <c r="AB33" s="30">
        <f t="shared" ca="1" si="9"/>
        <v>0.6</v>
      </c>
      <c r="AC33" s="30">
        <f t="shared" ca="1" si="9"/>
        <v>0.6</v>
      </c>
    </row>
    <row r="34" spans="3:29" x14ac:dyDescent="0.25">
      <c r="C34">
        <v>2020</v>
      </c>
      <c r="D34">
        <v>33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1</v>
      </c>
      <c r="Q34">
        <v>0</v>
      </c>
      <c r="R34">
        <v>0</v>
      </c>
      <c r="S34">
        <v>0</v>
      </c>
      <c r="T34">
        <v>29</v>
      </c>
      <c r="U34" s="37">
        <v>0</v>
      </c>
      <c r="V34" s="37">
        <v>0</v>
      </c>
      <c r="W34" s="30">
        <f t="shared" ca="1" si="9"/>
        <v>0.16638373927907732</v>
      </c>
      <c r="X34" s="30">
        <f t="shared" ca="1" si="9"/>
        <v>0.19208754274295717</v>
      </c>
      <c r="Y34" s="30">
        <f t="shared" ca="1" si="9"/>
        <v>0.22757756415783872</v>
      </c>
      <c r="Z34" s="30">
        <f t="shared" ca="1" si="9"/>
        <v>0.28435907212131212</v>
      </c>
      <c r="AA34" s="30">
        <f t="shared" ca="1" si="9"/>
        <v>0.4383314973794834</v>
      </c>
      <c r="AB34" s="30">
        <f t="shared" ca="1" si="9"/>
        <v>0.6</v>
      </c>
      <c r="AC34" s="30">
        <f t="shared" ca="1" si="9"/>
        <v>0.6</v>
      </c>
    </row>
    <row r="35" spans="3:29" x14ac:dyDescent="0.25">
      <c r="C35">
        <v>2020</v>
      </c>
      <c r="D35">
        <v>34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1</v>
      </c>
      <c r="Q35">
        <v>0</v>
      </c>
      <c r="R35">
        <v>0</v>
      </c>
      <c r="S35">
        <v>0</v>
      </c>
      <c r="T35">
        <v>30</v>
      </c>
      <c r="U35" s="37">
        <v>0</v>
      </c>
      <c r="V35" s="37">
        <v>0</v>
      </c>
      <c r="W35" s="30">
        <f t="shared" ca="1" si="9"/>
        <v>0.16638373927907732</v>
      </c>
      <c r="X35" s="30">
        <f t="shared" ca="1" si="9"/>
        <v>0.19208754274295717</v>
      </c>
      <c r="Y35" s="30">
        <f t="shared" ca="1" si="9"/>
        <v>0.22757756415783872</v>
      </c>
      <c r="Z35" s="30">
        <f t="shared" ca="1" si="9"/>
        <v>0.28435907212131212</v>
      </c>
      <c r="AA35" s="30">
        <f t="shared" ca="1" si="9"/>
        <v>0.4383314973794834</v>
      </c>
      <c r="AB35" s="30">
        <f t="shared" ca="1" si="9"/>
        <v>0.6</v>
      </c>
      <c r="AC35" s="30">
        <f t="shared" ca="1" si="9"/>
        <v>0.6</v>
      </c>
    </row>
    <row r="36" spans="3:29" x14ac:dyDescent="0.25">
      <c r="C36">
        <v>2020</v>
      </c>
      <c r="D36">
        <v>35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1</v>
      </c>
      <c r="Q36">
        <v>0</v>
      </c>
      <c r="R36">
        <v>0</v>
      </c>
      <c r="S36">
        <v>0</v>
      </c>
      <c r="T36">
        <v>31</v>
      </c>
      <c r="U36" s="37">
        <v>0</v>
      </c>
      <c r="V36" s="37">
        <v>0</v>
      </c>
      <c r="W36" s="30">
        <f t="shared" ca="1" si="9"/>
        <v>0.16638373927907732</v>
      </c>
      <c r="X36" s="30">
        <f t="shared" ca="1" si="9"/>
        <v>0.19208754274295717</v>
      </c>
      <c r="Y36" s="30">
        <f t="shared" ca="1" si="9"/>
        <v>0.22757756415783872</v>
      </c>
      <c r="Z36" s="30">
        <f t="shared" ca="1" si="9"/>
        <v>0.28435907212131212</v>
      </c>
      <c r="AA36" s="30">
        <f t="shared" ca="1" si="9"/>
        <v>0.4383314973794834</v>
      </c>
      <c r="AB36" s="30">
        <f t="shared" ca="1" si="9"/>
        <v>0.6</v>
      </c>
      <c r="AC36" s="30">
        <f t="shared" ca="1" si="9"/>
        <v>0.6</v>
      </c>
    </row>
    <row r="37" spans="3:29" x14ac:dyDescent="0.25">
      <c r="C37">
        <v>2020</v>
      </c>
      <c r="D37">
        <v>36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1</v>
      </c>
      <c r="Q37">
        <v>0</v>
      </c>
      <c r="R37">
        <v>0</v>
      </c>
      <c r="S37">
        <v>0</v>
      </c>
      <c r="T37">
        <v>32</v>
      </c>
      <c r="U37" s="37">
        <v>0</v>
      </c>
      <c r="V37" s="37">
        <v>0</v>
      </c>
      <c r="W37" s="30">
        <f t="shared" ca="1" si="9"/>
        <v>0.16638373927907732</v>
      </c>
      <c r="X37" s="30">
        <f t="shared" ca="1" si="9"/>
        <v>0.19208754274295717</v>
      </c>
      <c r="Y37" s="30">
        <f t="shared" ca="1" si="9"/>
        <v>0.22757756415783872</v>
      </c>
      <c r="Z37" s="30">
        <f t="shared" ca="1" si="9"/>
        <v>0.28435907212131212</v>
      </c>
      <c r="AA37" s="30">
        <f t="shared" ca="1" si="9"/>
        <v>0.4383314973794834</v>
      </c>
      <c r="AB37" s="30">
        <f t="shared" ca="1" si="9"/>
        <v>0.6</v>
      </c>
      <c r="AC37" s="30">
        <f t="shared" ca="1" si="9"/>
        <v>0.6</v>
      </c>
    </row>
    <row r="38" spans="3:29" x14ac:dyDescent="0.25">
      <c r="C38">
        <v>2020</v>
      </c>
      <c r="D38">
        <v>37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1</v>
      </c>
      <c r="Q38">
        <v>0</v>
      </c>
      <c r="R38">
        <v>0</v>
      </c>
      <c r="S38">
        <v>0</v>
      </c>
      <c r="T38">
        <v>33</v>
      </c>
      <c r="U38" s="37">
        <v>0</v>
      </c>
      <c r="V38" s="37">
        <v>0</v>
      </c>
      <c r="W38" s="30">
        <f t="shared" ca="1" si="9"/>
        <v>0.16638373927907732</v>
      </c>
      <c r="X38" s="30">
        <f t="shared" ca="1" si="9"/>
        <v>0.19208754274295717</v>
      </c>
      <c r="Y38" s="30">
        <f t="shared" ca="1" si="9"/>
        <v>0.22757756415783872</v>
      </c>
      <c r="Z38" s="30">
        <f t="shared" ca="1" si="9"/>
        <v>0.28435907212131212</v>
      </c>
      <c r="AA38" s="30">
        <f t="shared" ca="1" si="9"/>
        <v>0.4383314973794834</v>
      </c>
      <c r="AB38" s="30">
        <f t="shared" ca="1" si="9"/>
        <v>0.6</v>
      </c>
      <c r="AC38" s="30">
        <f t="shared" ca="1" si="9"/>
        <v>0.6</v>
      </c>
    </row>
    <row r="39" spans="3:29" x14ac:dyDescent="0.25">
      <c r="C39">
        <v>2020</v>
      </c>
      <c r="D39">
        <v>38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1</v>
      </c>
      <c r="Q39">
        <v>0</v>
      </c>
      <c r="R39">
        <v>0</v>
      </c>
      <c r="S39">
        <v>0</v>
      </c>
      <c r="T39">
        <v>34</v>
      </c>
      <c r="U39" s="37">
        <v>0</v>
      </c>
      <c r="V39" s="37">
        <v>0</v>
      </c>
      <c r="W39" s="30">
        <f t="shared" ref="W39:AC54" ca="1" si="10">W$2*$Q39*$Q$4+W$3*$R39*$R$4+W$4*$S39*$S$4+W38</f>
        <v>0.16638373927907732</v>
      </c>
      <c r="X39" s="30">
        <f t="shared" ca="1" si="10"/>
        <v>0.19208754274295717</v>
      </c>
      <c r="Y39" s="30">
        <f t="shared" ca="1" si="10"/>
        <v>0.22757756415783872</v>
      </c>
      <c r="Z39" s="30">
        <f t="shared" ca="1" si="10"/>
        <v>0.28435907212131212</v>
      </c>
      <c r="AA39" s="30">
        <f t="shared" ca="1" si="10"/>
        <v>0.4383314973794834</v>
      </c>
      <c r="AB39" s="30">
        <f t="shared" ca="1" si="10"/>
        <v>0.6</v>
      </c>
      <c r="AC39" s="30">
        <f t="shared" ca="1" si="10"/>
        <v>0.6</v>
      </c>
    </row>
    <row r="40" spans="3:29" x14ac:dyDescent="0.25">
      <c r="C40">
        <v>2020</v>
      </c>
      <c r="D40">
        <v>39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1</v>
      </c>
      <c r="Q40">
        <v>0</v>
      </c>
      <c r="R40">
        <v>0</v>
      </c>
      <c r="S40">
        <v>0</v>
      </c>
      <c r="T40">
        <v>35</v>
      </c>
      <c r="U40" s="37">
        <v>0</v>
      </c>
      <c r="V40" s="37">
        <v>0</v>
      </c>
      <c r="W40" s="30">
        <f t="shared" ca="1" si="10"/>
        <v>0.16638373927907732</v>
      </c>
      <c r="X40" s="30">
        <f t="shared" ca="1" si="10"/>
        <v>0.19208754274295717</v>
      </c>
      <c r="Y40" s="30">
        <f t="shared" ca="1" si="10"/>
        <v>0.22757756415783872</v>
      </c>
      <c r="Z40" s="30">
        <f t="shared" ca="1" si="10"/>
        <v>0.28435907212131212</v>
      </c>
      <c r="AA40" s="30">
        <f t="shared" ca="1" si="10"/>
        <v>0.4383314973794834</v>
      </c>
      <c r="AB40" s="30">
        <f t="shared" ca="1" si="10"/>
        <v>0.6</v>
      </c>
      <c r="AC40" s="30">
        <f t="shared" ca="1" si="10"/>
        <v>0.6</v>
      </c>
    </row>
    <row r="41" spans="3:29" x14ac:dyDescent="0.25">
      <c r="C41">
        <v>2020</v>
      </c>
      <c r="D41">
        <v>40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1</v>
      </c>
      <c r="Q41">
        <v>0</v>
      </c>
      <c r="R41">
        <v>0</v>
      </c>
      <c r="S41">
        <v>0</v>
      </c>
      <c r="T41">
        <v>36</v>
      </c>
      <c r="U41" s="37">
        <v>0</v>
      </c>
      <c r="V41" s="37">
        <v>0</v>
      </c>
      <c r="W41" s="30">
        <f t="shared" ca="1" si="10"/>
        <v>0.16638373927907732</v>
      </c>
      <c r="X41" s="30">
        <f t="shared" ca="1" si="10"/>
        <v>0.19208754274295717</v>
      </c>
      <c r="Y41" s="30">
        <f t="shared" ca="1" si="10"/>
        <v>0.22757756415783872</v>
      </c>
      <c r="Z41" s="30">
        <f t="shared" ca="1" si="10"/>
        <v>0.28435907212131212</v>
      </c>
      <c r="AA41" s="30">
        <f t="shared" ca="1" si="10"/>
        <v>0.4383314973794834</v>
      </c>
      <c r="AB41" s="30">
        <f t="shared" ca="1" si="10"/>
        <v>0.6</v>
      </c>
      <c r="AC41" s="30">
        <f t="shared" ca="1" si="10"/>
        <v>0.6</v>
      </c>
    </row>
    <row r="42" spans="3:29" x14ac:dyDescent="0.25">
      <c r="C42">
        <v>2020</v>
      </c>
      <c r="D42">
        <v>41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1</v>
      </c>
      <c r="Q42">
        <v>0</v>
      </c>
      <c r="R42">
        <v>0</v>
      </c>
      <c r="S42">
        <v>0</v>
      </c>
      <c r="T42">
        <v>37</v>
      </c>
      <c r="U42" s="37">
        <v>0</v>
      </c>
      <c r="V42" s="37">
        <v>0</v>
      </c>
      <c r="W42" s="30">
        <f t="shared" ca="1" si="10"/>
        <v>0.16638373927907732</v>
      </c>
      <c r="X42" s="30">
        <f t="shared" ca="1" si="10"/>
        <v>0.19208754274295717</v>
      </c>
      <c r="Y42" s="30">
        <f t="shared" ca="1" si="10"/>
        <v>0.22757756415783872</v>
      </c>
      <c r="Z42" s="30">
        <f t="shared" ca="1" si="10"/>
        <v>0.28435907212131212</v>
      </c>
      <c r="AA42" s="30">
        <f t="shared" ca="1" si="10"/>
        <v>0.4383314973794834</v>
      </c>
      <c r="AB42" s="30">
        <f t="shared" ca="1" si="10"/>
        <v>0.6</v>
      </c>
      <c r="AC42" s="30">
        <f t="shared" ca="1" si="10"/>
        <v>0.6</v>
      </c>
    </row>
    <row r="43" spans="3:29" x14ac:dyDescent="0.25">
      <c r="C43">
        <v>2020</v>
      </c>
      <c r="D43">
        <v>42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1</v>
      </c>
      <c r="Q43">
        <v>0</v>
      </c>
      <c r="R43">
        <v>0</v>
      </c>
      <c r="S43">
        <v>0</v>
      </c>
      <c r="T43">
        <v>38</v>
      </c>
      <c r="U43" s="37">
        <v>0</v>
      </c>
      <c r="V43" s="37">
        <v>0</v>
      </c>
      <c r="W43" s="30">
        <f t="shared" ca="1" si="10"/>
        <v>0.16638373927907732</v>
      </c>
      <c r="X43" s="30">
        <f t="shared" ca="1" si="10"/>
        <v>0.19208754274295717</v>
      </c>
      <c r="Y43" s="30">
        <f t="shared" ca="1" si="10"/>
        <v>0.22757756415783872</v>
      </c>
      <c r="Z43" s="30">
        <f t="shared" ca="1" si="10"/>
        <v>0.28435907212131212</v>
      </c>
      <c r="AA43" s="30">
        <f t="shared" ca="1" si="10"/>
        <v>0.4383314973794834</v>
      </c>
      <c r="AB43" s="30">
        <f t="shared" ca="1" si="10"/>
        <v>0.6</v>
      </c>
      <c r="AC43" s="30">
        <f t="shared" ca="1" si="10"/>
        <v>0.6</v>
      </c>
    </row>
    <row r="44" spans="3:29" x14ac:dyDescent="0.25">
      <c r="C44">
        <v>2020</v>
      </c>
      <c r="D44">
        <v>43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1</v>
      </c>
      <c r="Q44">
        <v>0</v>
      </c>
      <c r="R44">
        <v>0</v>
      </c>
      <c r="S44">
        <v>0</v>
      </c>
      <c r="T44">
        <v>39</v>
      </c>
      <c r="U44" s="37">
        <v>0</v>
      </c>
      <c r="V44" s="37">
        <v>0</v>
      </c>
      <c r="W44" s="30">
        <f t="shared" ca="1" si="10"/>
        <v>0.16638373927907732</v>
      </c>
      <c r="X44" s="30">
        <f t="shared" ca="1" si="10"/>
        <v>0.19208754274295717</v>
      </c>
      <c r="Y44" s="30">
        <f t="shared" ca="1" si="10"/>
        <v>0.22757756415783872</v>
      </c>
      <c r="Z44" s="30">
        <f t="shared" ca="1" si="10"/>
        <v>0.28435907212131212</v>
      </c>
      <c r="AA44" s="30">
        <f t="shared" ca="1" si="10"/>
        <v>0.4383314973794834</v>
      </c>
      <c r="AB44" s="30">
        <f t="shared" ca="1" si="10"/>
        <v>0.6</v>
      </c>
      <c r="AC44" s="30">
        <f t="shared" ca="1" si="10"/>
        <v>0.6</v>
      </c>
    </row>
    <row r="45" spans="3:29" x14ac:dyDescent="0.25">
      <c r="C45">
        <v>2020</v>
      </c>
      <c r="D45">
        <v>44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1</v>
      </c>
      <c r="Q45">
        <v>0</v>
      </c>
      <c r="R45">
        <v>0</v>
      </c>
      <c r="S45">
        <v>0</v>
      </c>
      <c r="T45">
        <v>40</v>
      </c>
      <c r="U45" s="37">
        <v>0</v>
      </c>
      <c r="V45" s="37">
        <v>0</v>
      </c>
      <c r="W45" s="30">
        <f t="shared" ca="1" si="10"/>
        <v>0.16638373927907732</v>
      </c>
      <c r="X45" s="30">
        <f t="shared" ca="1" si="10"/>
        <v>0.19208754274295717</v>
      </c>
      <c r="Y45" s="30">
        <f t="shared" ca="1" si="10"/>
        <v>0.22757756415783872</v>
      </c>
      <c r="Z45" s="30">
        <f t="shared" ca="1" si="10"/>
        <v>0.28435907212131212</v>
      </c>
      <c r="AA45" s="30">
        <f t="shared" ca="1" si="10"/>
        <v>0.4383314973794834</v>
      </c>
      <c r="AB45" s="30">
        <f t="shared" ca="1" si="10"/>
        <v>0.6</v>
      </c>
      <c r="AC45" s="30">
        <f t="shared" ca="1" si="10"/>
        <v>0.6</v>
      </c>
    </row>
    <row r="46" spans="3:29" x14ac:dyDescent="0.25">
      <c r="C46">
        <v>2020</v>
      </c>
      <c r="D46">
        <v>45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1</v>
      </c>
      <c r="Q46">
        <v>0</v>
      </c>
      <c r="R46">
        <v>0</v>
      </c>
      <c r="S46">
        <v>0</v>
      </c>
      <c r="T46">
        <v>41</v>
      </c>
      <c r="U46" s="37">
        <v>0</v>
      </c>
      <c r="V46" s="37">
        <v>0</v>
      </c>
      <c r="W46" s="30">
        <f t="shared" ca="1" si="10"/>
        <v>0.16638373927907732</v>
      </c>
      <c r="X46" s="30">
        <f t="shared" ca="1" si="10"/>
        <v>0.19208754274295717</v>
      </c>
      <c r="Y46" s="30">
        <f t="shared" ca="1" si="10"/>
        <v>0.22757756415783872</v>
      </c>
      <c r="Z46" s="30">
        <f t="shared" ca="1" si="10"/>
        <v>0.28435907212131212</v>
      </c>
      <c r="AA46" s="30">
        <f t="shared" ca="1" si="10"/>
        <v>0.4383314973794834</v>
      </c>
      <c r="AB46" s="30">
        <f t="shared" ca="1" si="10"/>
        <v>0.6</v>
      </c>
      <c r="AC46" s="30">
        <f t="shared" ca="1" si="10"/>
        <v>0.6</v>
      </c>
    </row>
    <row r="47" spans="3:29" x14ac:dyDescent="0.25">
      <c r="C47">
        <v>2020</v>
      </c>
      <c r="D47">
        <v>46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1</v>
      </c>
      <c r="Q47">
        <v>0</v>
      </c>
      <c r="R47">
        <v>0</v>
      </c>
      <c r="S47">
        <v>0</v>
      </c>
      <c r="T47">
        <v>42</v>
      </c>
      <c r="U47" s="37">
        <v>0</v>
      </c>
      <c r="V47" s="37">
        <v>0</v>
      </c>
      <c r="W47" s="30">
        <f t="shared" ca="1" si="10"/>
        <v>0.16638373927907732</v>
      </c>
      <c r="X47" s="30">
        <f t="shared" ca="1" si="10"/>
        <v>0.19208754274295717</v>
      </c>
      <c r="Y47" s="30">
        <f t="shared" ca="1" si="10"/>
        <v>0.22757756415783872</v>
      </c>
      <c r="Z47" s="30">
        <f t="shared" ca="1" si="10"/>
        <v>0.28435907212131212</v>
      </c>
      <c r="AA47" s="30">
        <f t="shared" ca="1" si="10"/>
        <v>0.4383314973794834</v>
      </c>
      <c r="AB47" s="30">
        <f t="shared" ca="1" si="10"/>
        <v>0.6</v>
      </c>
      <c r="AC47" s="30">
        <f t="shared" ca="1" si="10"/>
        <v>0.6</v>
      </c>
    </row>
    <row r="48" spans="3:29" x14ac:dyDescent="0.25">
      <c r="C48">
        <v>2020</v>
      </c>
      <c r="D48">
        <v>47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1</v>
      </c>
      <c r="Q48">
        <v>0</v>
      </c>
      <c r="R48">
        <v>0</v>
      </c>
      <c r="S48">
        <v>0</v>
      </c>
      <c r="T48">
        <v>43</v>
      </c>
      <c r="U48" s="37">
        <v>0</v>
      </c>
      <c r="V48" s="37">
        <v>0</v>
      </c>
      <c r="W48" s="30">
        <f t="shared" ca="1" si="10"/>
        <v>0.16638373927907732</v>
      </c>
      <c r="X48" s="30">
        <f t="shared" ca="1" si="10"/>
        <v>0.19208754274295717</v>
      </c>
      <c r="Y48" s="30">
        <f t="shared" ca="1" si="10"/>
        <v>0.22757756415783872</v>
      </c>
      <c r="Z48" s="30">
        <f t="shared" ca="1" si="10"/>
        <v>0.28435907212131212</v>
      </c>
      <c r="AA48" s="30">
        <f t="shared" ca="1" si="10"/>
        <v>0.4383314973794834</v>
      </c>
      <c r="AB48" s="30">
        <f t="shared" ca="1" si="10"/>
        <v>0.6</v>
      </c>
      <c r="AC48" s="30">
        <f t="shared" ca="1" si="10"/>
        <v>0.6</v>
      </c>
    </row>
    <row r="49" spans="3:29" x14ac:dyDescent="0.25">
      <c r="C49">
        <v>2020</v>
      </c>
      <c r="D49">
        <v>48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1</v>
      </c>
      <c r="Q49">
        <v>0</v>
      </c>
      <c r="R49">
        <v>0</v>
      </c>
      <c r="S49">
        <v>0</v>
      </c>
      <c r="T49">
        <v>44</v>
      </c>
      <c r="U49" s="37">
        <v>0</v>
      </c>
      <c r="V49" s="37">
        <v>0</v>
      </c>
      <c r="W49" s="30">
        <f t="shared" ca="1" si="10"/>
        <v>0.16638373927907732</v>
      </c>
      <c r="X49" s="30">
        <f t="shared" ca="1" si="10"/>
        <v>0.19208754274295717</v>
      </c>
      <c r="Y49" s="30">
        <f t="shared" ca="1" si="10"/>
        <v>0.22757756415783872</v>
      </c>
      <c r="Z49" s="30">
        <f t="shared" ca="1" si="10"/>
        <v>0.28435907212131212</v>
      </c>
      <c r="AA49" s="30">
        <f t="shared" ca="1" si="10"/>
        <v>0.4383314973794834</v>
      </c>
      <c r="AB49" s="30">
        <f t="shared" ca="1" si="10"/>
        <v>0.6</v>
      </c>
      <c r="AC49" s="30">
        <f t="shared" ca="1" si="10"/>
        <v>0.6</v>
      </c>
    </row>
    <row r="50" spans="3:29" x14ac:dyDescent="0.25">
      <c r="C50">
        <v>2020</v>
      </c>
      <c r="D50">
        <v>49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1</v>
      </c>
      <c r="Q50">
        <v>0</v>
      </c>
      <c r="R50">
        <v>0</v>
      </c>
      <c r="S50">
        <v>0</v>
      </c>
      <c r="T50">
        <v>45</v>
      </c>
      <c r="U50" s="37">
        <v>0</v>
      </c>
      <c r="V50" s="37">
        <v>0</v>
      </c>
      <c r="W50" s="30">
        <f t="shared" ca="1" si="10"/>
        <v>0.16638373927907732</v>
      </c>
      <c r="X50" s="30">
        <f t="shared" ca="1" si="10"/>
        <v>0.19208754274295717</v>
      </c>
      <c r="Y50" s="30">
        <f t="shared" ca="1" si="10"/>
        <v>0.22757756415783872</v>
      </c>
      <c r="Z50" s="30">
        <f t="shared" ca="1" si="10"/>
        <v>0.28435907212131212</v>
      </c>
      <c r="AA50" s="30">
        <f t="shared" ca="1" si="10"/>
        <v>0.4383314973794834</v>
      </c>
      <c r="AB50" s="30">
        <f t="shared" ca="1" si="10"/>
        <v>0.6</v>
      </c>
      <c r="AC50" s="30">
        <f t="shared" ca="1" si="10"/>
        <v>0.6</v>
      </c>
    </row>
    <row r="51" spans="3:29" x14ac:dyDescent="0.25">
      <c r="C51">
        <v>2020</v>
      </c>
      <c r="D51">
        <v>50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1</v>
      </c>
      <c r="Q51">
        <v>0</v>
      </c>
      <c r="R51">
        <v>0</v>
      </c>
      <c r="S51">
        <v>0</v>
      </c>
      <c r="T51">
        <v>46</v>
      </c>
      <c r="U51" s="37">
        <v>0</v>
      </c>
      <c r="V51" s="37">
        <v>0</v>
      </c>
      <c r="W51" s="30">
        <f t="shared" ca="1" si="10"/>
        <v>0.16638373927907732</v>
      </c>
      <c r="X51" s="30">
        <f t="shared" ca="1" si="10"/>
        <v>0.19208754274295717</v>
      </c>
      <c r="Y51" s="30">
        <f t="shared" ca="1" si="10"/>
        <v>0.22757756415783872</v>
      </c>
      <c r="Z51" s="30">
        <f t="shared" ca="1" si="10"/>
        <v>0.28435907212131212</v>
      </c>
      <c r="AA51" s="30">
        <f t="shared" ca="1" si="10"/>
        <v>0.4383314973794834</v>
      </c>
      <c r="AB51" s="30">
        <f t="shared" ca="1" si="10"/>
        <v>0.6</v>
      </c>
      <c r="AC51" s="30">
        <f t="shared" ca="1" si="10"/>
        <v>0.6</v>
      </c>
    </row>
    <row r="52" spans="3:29" x14ac:dyDescent="0.25">
      <c r="C52">
        <v>2020</v>
      </c>
      <c r="D52">
        <v>51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1</v>
      </c>
      <c r="Q52">
        <v>0</v>
      </c>
      <c r="R52">
        <v>0</v>
      </c>
      <c r="S52">
        <v>0</v>
      </c>
      <c r="T52">
        <v>47</v>
      </c>
      <c r="U52" s="37">
        <v>0</v>
      </c>
      <c r="V52" s="37">
        <v>0</v>
      </c>
      <c r="W52" s="30">
        <f t="shared" ca="1" si="10"/>
        <v>0.16638373927907732</v>
      </c>
      <c r="X52" s="30">
        <f t="shared" ca="1" si="10"/>
        <v>0.19208754274295717</v>
      </c>
      <c r="Y52" s="30">
        <f t="shared" ca="1" si="10"/>
        <v>0.22757756415783872</v>
      </c>
      <c r="Z52" s="30">
        <f t="shared" ca="1" si="10"/>
        <v>0.28435907212131212</v>
      </c>
      <c r="AA52" s="30">
        <f t="shared" ca="1" si="10"/>
        <v>0.4383314973794834</v>
      </c>
      <c r="AB52" s="30">
        <f t="shared" ca="1" si="10"/>
        <v>0.6</v>
      </c>
      <c r="AC52" s="30">
        <f t="shared" ca="1" si="10"/>
        <v>0.6</v>
      </c>
    </row>
    <row r="53" spans="3:29" x14ac:dyDescent="0.25">
      <c r="C53">
        <v>2020</v>
      </c>
      <c r="D53">
        <v>52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1</v>
      </c>
      <c r="Q53">
        <v>0</v>
      </c>
      <c r="R53">
        <v>0</v>
      </c>
      <c r="S53">
        <v>0</v>
      </c>
      <c r="T53">
        <v>48</v>
      </c>
      <c r="U53" s="37">
        <v>0</v>
      </c>
      <c r="V53" s="37">
        <v>0</v>
      </c>
      <c r="W53" s="30">
        <f t="shared" ca="1" si="10"/>
        <v>0.16638373927907732</v>
      </c>
      <c r="X53" s="30">
        <f t="shared" ca="1" si="10"/>
        <v>0.19208754274295717</v>
      </c>
      <c r="Y53" s="30">
        <f t="shared" ca="1" si="10"/>
        <v>0.22757756415783872</v>
      </c>
      <c r="Z53" s="30">
        <f t="shared" ca="1" si="10"/>
        <v>0.28435907212131212</v>
      </c>
      <c r="AA53" s="30">
        <f t="shared" ca="1" si="10"/>
        <v>0.4383314973794834</v>
      </c>
      <c r="AB53" s="30">
        <f t="shared" ca="1" si="10"/>
        <v>0.6</v>
      </c>
      <c r="AC53" s="30">
        <f t="shared" ca="1" si="10"/>
        <v>0.6</v>
      </c>
    </row>
    <row r="54" spans="3:29" x14ac:dyDescent="0.25">
      <c r="C54">
        <f>+C53+1</f>
        <v>2021</v>
      </c>
      <c r="D54">
        <f>+D2</f>
        <v>1</v>
      </c>
      <c r="E54">
        <v>0</v>
      </c>
      <c r="F54">
        <v>0</v>
      </c>
      <c r="G54" s="30">
        <f t="shared" ref="G54:G65" ca="1" si="11">+W6+W60</f>
        <v>1.576848158797885E-2</v>
      </c>
      <c r="H54" s="30">
        <f t="shared" ref="H54:H65" ca="1" si="12">+X6+X60</f>
        <v>1.576848158797885E-2</v>
      </c>
      <c r="I54" s="30">
        <f t="shared" ref="I54:I65" ca="1" si="13">+Y6+Y60</f>
        <v>1.576848158797885E-2</v>
      </c>
      <c r="J54" s="30">
        <f t="shared" ref="J54:J65" ca="1" si="14">+Z6+Z60</f>
        <v>1.576848158797885E-2</v>
      </c>
      <c r="K54" s="30">
        <f t="shared" ref="K54:K65" ca="1" si="15">+AA6+AA60</f>
        <v>0</v>
      </c>
      <c r="L54" s="30">
        <f t="shared" ref="L54:L65" ca="1" si="16">+AB6+AB60</f>
        <v>0</v>
      </c>
      <c r="M54" s="30">
        <f t="shared" ref="M54:M65" ca="1" si="17">+AC6+AC60</f>
        <v>0</v>
      </c>
      <c r="N54">
        <v>1</v>
      </c>
      <c r="Q54">
        <v>0</v>
      </c>
      <c r="R54">
        <v>0</v>
      </c>
      <c r="S54">
        <v>0</v>
      </c>
      <c r="T54">
        <v>49</v>
      </c>
      <c r="U54" s="37">
        <v>0</v>
      </c>
      <c r="V54" s="37">
        <v>0</v>
      </c>
      <c r="W54" s="30">
        <f t="shared" ca="1" si="10"/>
        <v>0.16638373927907732</v>
      </c>
      <c r="X54" s="30">
        <f t="shared" ca="1" si="10"/>
        <v>0.19208754274295717</v>
      </c>
      <c r="Y54" s="30">
        <f t="shared" ca="1" si="10"/>
        <v>0.22757756415783872</v>
      </c>
      <c r="Z54" s="30">
        <f t="shared" ca="1" si="10"/>
        <v>0.28435907212131212</v>
      </c>
      <c r="AA54" s="30">
        <f t="shared" ca="1" si="10"/>
        <v>0.4383314973794834</v>
      </c>
      <c r="AB54" s="30">
        <f t="shared" ca="1" si="10"/>
        <v>0.6</v>
      </c>
      <c r="AC54" s="30">
        <f t="shared" ca="1" si="10"/>
        <v>0.6</v>
      </c>
    </row>
    <row r="55" spans="3:29" x14ac:dyDescent="0.25">
      <c r="C55">
        <f>+C54</f>
        <v>2021</v>
      </c>
      <c r="D55">
        <f t="shared" ref="D55:D105" si="18">+D3</f>
        <v>2</v>
      </c>
      <c r="E55">
        <v>0</v>
      </c>
      <c r="F55">
        <v>0</v>
      </c>
      <c r="G55" s="30">
        <f t="shared" ca="1" si="11"/>
        <v>3.1536963175957701E-2</v>
      </c>
      <c r="H55" s="30">
        <f t="shared" ca="1" si="12"/>
        <v>3.1536963175957701E-2</v>
      </c>
      <c r="I55" s="30">
        <f t="shared" ca="1" si="13"/>
        <v>3.1536963175957701E-2</v>
      </c>
      <c r="J55" s="30">
        <f t="shared" ca="1" si="14"/>
        <v>3.1536963175957701E-2</v>
      </c>
      <c r="K55" s="30">
        <f t="shared" ca="1" si="15"/>
        <v>0</v>
      </c>
      <c r="L55" s="30">
        <f t="shared" ca="1" si="16"/>
        <v>0</v>
      </c>
      <c r="M55" s="30">
        <f t="shared" ca="1" si="17"/>
        <v>0</v>
      </c>
      <c r="N55">
        <v>1</v>
      </c>
      <c r="Q55">
        <v>0</v>
      </c>
      <c r="R55">
        <v>0</v>
      </c>
      <c r="S55">
        <v>0</v>
      </c>
      <c r="T55">
        <v>50</v>
      </c>
      <c r="U55" s="37">
        <v>0</v>
      </c>
      <c r="V55" s="37">
        <v>0</v>
      </c>
      <c r="W55" s="30">
        <f t="shared" ref="W55:AC57" ca="1" si="19">W$2*$Q55*$Q$4+W$3*$R55*$R$4+W$4*$S55*$S$4+W54</f>
        <v>0.16638373927907732</v>
      </c>
      <c r="X55" s="30">
        <f t="shared" ca="1" si="19"/>
        <v>0.19208754274295717</v>
      </c>
      <c r="Y55" s="30">
        <f t="shared" ca="1" si="19"/>
        <v>0.22757756415783872</v>
      </c>
      <c r="Z55" s="30">
        <f t="shared" ca="1" si="19"/>
        <v>0.28435907212131212</v>
      </c>
      <c r="AA55" s="30">
        <f t="shared" ca="1" si="19"/>
        <v>0.4383314973794834</v>
      </c>
      <c r="AB55" s="30">
        <f t="shared" ca="1" si="19"/>
        <v>0.6</v>
      </c>
      <c r="AC55" s="30">
        <f t="shared" ca="1" si="19"/>
        <v>0.6</v>
      </c>
    </row>
    <row r="56" spans="3:29" x14ac:dyDescent="0.25">
      <c r="C56">
        <v>2021</v>
      </c>
      <c r="D56">
        <f t="shared" si="18"/>
        <v>3</v>
      </c>
      <c r="E56">
        <v>0</v>
      </c>
      <c r="F56">
        <v>0</v>
      </c>
      <c r="G56" s="30">
        <f t="shared" ca="1" si="11"/>
        <v>4.7305444763936555E-2</v>
      </c>
      <c r="H56" s="30">
        <f t="shared" ca="1" si="12"/>
        <v>4.7305444763936555E-2</v>
      </c>
      <c r="I56" s="30">
        <f t="shared" ca="1" si="13"/>
        <v>4.7305444763936555E-2</v>
      </c>
      <c r="J56" s="30">
        <f t="shared" ca="1" si="14"/>
        <v>4.7305444763936555E-2</v>
      </c>
      <c r="K56" s="30">
        <f t="shared" ca="1" si="15"/>
        <v>0</v>
      </c>
      <c r="L56" s="30">
        <f t="shared" ca="1" si="16"/>
        <v>0</v>
      </c>
      <c r="M56" s="30">
        <f t="shared" ca="1" si="17"/>
        <v>0</v>
      </c>
      <c r="N56">
        <v>1</v>
      </c>
      <c r="Q56">
        <v>0</v>
      </c>
      <c r="R56">
        <v>0</v>
      </c>
      <c r="S56">
        <v>0</v>
      </c>
      <c r="T56">
        <v>51</v>
      </c>
      <c r="U56" s="37">
        <v>0</v>
      </c>
      <c r="V56" s="37">
        <v>0</v>
      </c>
      <c r="W56" s="30">
        <f t="shared" ca="1" si="19"/>
        <v>0.16638373927907732</v>
      </c>
      <c r="X56" s="30">
        <f t="shared" ca="1" si="19"/>
        <v>0.19208754274295717</v>
      </c>
      <c r="Y56" s="30">
        <f t="shared" ca="1" si="19"/>
        <v>0.22757756415783872</v>
      </c>
      <c r="Z56" s="30">
        <f t="shared" ca="1" si="19"/>
        <v>0.28435907212131212</v>
      </c>
      <c r="AA56" s="30">
        <f t="shared" ca="1" si="19"/>
        <v>0.4383314973794834</v>
      </c>
      <c r="AB56" s="30">
        <f t="shared" ca="1" si="19"/>
        <v>0.6</v>
      </c>
      <c r="AC56" s="30">
        <f t="shared" ca="1" si="19"/>
        <v>0.6</v>
      </c>
    </row>
    <row r="57" spans="3:29" x14ac:dyDescent="0.25">
      <c r="C57">
        <v>2021</v>
      </c>
      <c r="D57">
        <f t="shared" si="18"/>
        <v>4</v>
      </c>
      <c r="E57">
        <v>0</v>
      </c>
      <c r="F57">
        <v>0</v>
      </c>
      <c r="G57" s="30">
        <f t="shared" ca="1" si="11"/>
        <v>6.3073926351915402E-2</v>
      </c>
      <c r="H57" s="30">
        <f t="shared" ca="1" si="12"/>
        <v>6.3073926351915402E-2</v>
      </c>
      <c r="I57" s="30">
        <f t="shared" ca="1" si="13"/>
        <v>6.3073926351915402E-2</v>
      </c>
      <c r="J57" s="30">
        <f t="shared" ca="1" si="14"/>
        <v>6.3073926351915402E-2</v>
      </c>
      <c r="K57" s="30">
        <f t="shared" ca="1" si="15"/>
        <v>0</v>
      </c>
      <c r="L57" s="30">
        <f t="shared" ca="1" si="16"/>
        <v>0</v>
      </c>
      <c r="M57" s="30">
        <f t="shared" ca="1" si="17"/>
        <v>0</v>
      </c>
      <c r="N57">
        <v>1</v>
      </c>
      <c r="Q57">
        <v>0</v>
      </c>
      <c r="R57">
        <v>0</v>
      </c>
      <c r="S57">
        <v>0</v>
      </c>
      <c r="T57">
        <v>52</v>
      </c>
      <c r="U57" s="37">
        <v>0</v>
      </c>
      <c r="V57" s="37">
        <v>0</v>
      </c>
      <c r="W57" s="30">
        <f t="shared" ca="1" si="19"/>
        <v>0.16638373927907732</v>
      </c>
      <c r="X57" s="30">
        <f t="shared" ca="1" si="19"/>
        <v>0.19208754274295717</v>
      </c>
      <c r="Y57" s="30">
        <f t="shared" ca="1" si="19"/>
        <v>0.22757756415783872</v>
      </c>
      <c r="Z57" s="30">
        <f t="shared" ca="1" si="19"/>
        <v>0.28435907212131212</v>
      </c>
      <c r="AA57" s="30">
        <f t="shared" ca="1" si="19"/>
        <v>0.4383314973794834</v>
      </c>
      <c r="AB57" s="30">
        <f t="shared" ca="1" si="19"/>
        <v>0.6</v>
      </c>
      <c r="AC57" s="30">
        <f t="shared" ca="1" si="19"/>
        <v>0.6</v>
      </c>
    </row>
    <row r="58" spans="3:29" x14ac:dyDescent="0.25">
      <c r="C58">
        <v>2021</v>
      </c>
      <c r="D58">
        <f t="shared" si="18"/>
        <v>5</v>
      </c>
      <c r="E58">
        <v>0</v>
      </c>
      <c r="F58">
        <v>0</v>
      </c>
      <c r="G58" s="30">
        <f t="shared" ca="1" si="11"/>
        <v>7.8842407939894249E-2</v>
      </c>
      <c r="H58" s="30">
        <f t="shared" ca="1" si="12"/>
        <v>7.8842407939894249E-2</v>
      </c>
      <c r="I58" s="30">
        <f t="shared" ca="1" si="13"/>
        <v>7.8842407939894249E-2</v>
      </c>
      <c r="J58" s="30">
        <f t="shared" ca="1" si="14"/>
        <v>7.8842407939894249E-2</v>
      </c>
      <c r="K58" s="30">
        <f t="shared" ca="1" si="15"/>
        <v>0</v>
      </c>
      <c r="L58" s="30">
        <f t="shared" ca="1" si="16"/>
        <v>0</v>
      </c>
      <c r="M58" s="30">
        <f t="shared" ca="1" si="17"/>
        <v>0</v>
      </c>
      <c r="N58">
        <v>1</v>
      </c>
      <c r="Q58" s="32">
        <f ca="1">OFFSET(AJ2,$R$1,)</f>
        <v>0</v>
      </c>
      <c r="R58" s="32">
        <f ca="1">OFFSET(AK2,$R$1,)</f>
        <v>0</v>
      </c>
      <c r="S58" s="32">
        <f ca="1">OFFSET(AL2,$R$1,)</f>
        <v>0.6</v>
      </c>
    </row>
    <row r="59" spans="3:29" x14ac:dyDescent="0.25">
      <c r="C59">
        <v>2021</v>
      </c>
      <c r="D59">
        <f t="shared" si="18"/>
        <v>6</v>
      </c>
      <c r="E59">
        <v>0</v>
      </c>
      <c r="F59">
        <v>0</v>
      </c>
      <c r="G59" s="41">
        <f t="shared" ca="1" si="11"/>
        <v>9.4610889527873096E-2</v>
      </c>
      <c r="H59" s="41">
        <f t="shared" ca="1" si="12"/>
        <v>9.4610889527873096E-2</v>
      </c>
      <c r="I59" s="41">
        <f t="shared" ca="1" si="13"/>
        <v>9.4610889527873096E-2</v>
      </c>
      <c r="J59" s="41">
        <f t="shared" ca="1" si="14"/>
        <v>9.4610889527873096E-2</v>
      </c>
      <c r="K59" s="41">
        <f t="shared" ca="1" si="15"/>
        <v>0</v>
      </c>
      <c r="L59" s="41">
        <f t="shared" ca="1" si="16"/>
        <v>0</v>
      </c>
      <c r="M59" s="41">
        <f t="shared" ca="1" si="17"/>
        <v>0</v>
      </c>
      <c r="N59">
        <v>1</v>
      </c>
      <c r="P59" s="6" t="s">
        <v>97</v>
      </c>
      <c r="Q59" s="4" t="s">
        <v>110</v>
      </c>
      <c r="R59" s="4" t="s">
        <v>111</v>
      </c>
      <c r="S59" t="s">
        <v>112</v>
      </c>
      <c r="T59" s="6" t="s">
        <v>124</v>
      </c>
    </row>
    <row r="60" spans="3:29" x14ac:dyDescent="0.25">
      <c r="C60">
        <v>2021</v>
      </c>
      <c r="D60">
        <f t="shared" si="18"/>
        <v>7</v>
      </c>
      <c r="E60">
        <v>0</v>
      </c>
      <c r="F60">
        <v>0</v>
      </c>
      <c r="G60" s="30">
        <f t="shared" ca="1" si="11"/>
        <v>0.11037937111585194</v>
      </c>
      <c r="H60" s="30">
        <f t="shared" ca="1" si="12"/>
        <v>0.11037937111585194</v>
      </c>
      <c r="I60" s="30">
        <f t="shared" ca="1" si="13"/>
        <v>0.11037937111585194</v>
      </c>
      <c r="J60" s="30">
        <f t="shared" ca="1" si="14"/>
        <v>0.11037937111585194</v>
      </c>
      <c r="K60" s="30">
        <f t="shared" ca="1" si="15"/>
        <v>0</v>
      </c>
      <c r="L60" s="30">
        <f t="shared" ca="1" si="16"/>
        <v>0</v>
      </c>
      <c r="M60" s="30">
        <f t="shared" ca="1" si="17"/>
        <v>0</v>
      </c>
      <c r="N60">
        <v>1</v>
      </c>
      <c r="Q60">
        <v>0</v>
      </c>
      <c r="R60">
        <v>0</v>
      </c>
      <c r="S60">
        <v>0</v>
      </c>
      <c r="T60">
        <v>1</v>
      </c>
      <c r="U60" s="37">
        <v>0</v>
      </c>
      <c r="V60" s="37">
        <v>0</v>
      </c>
      <c r="W60" s="30">
        <f t="shared" ref="W60:W91" ca="1" si="20">W$2*$Q60*$Q$58+W$3*$R60*$R$58+W$4*$S60*$S$58+W59</f>
        <v>0</v>
      </c>
      <c r="X60" s="30">
        <f t="shared" ref="X60:X91" ca="1" si="21">X$2*$Q60*$Q$58+X$3*$R60*$R$58+X$4*$S60*$S$58+X59</f>
        <v>0</v>
      </c>
      <c r="Y60" s="30">
        <f t="shared" ref="Y60:Y91" ca="1" si="22">Y$2*$Q60*$Q$58+Y$3*$R60*$R$58+Y$4*$S60*$S$58+Y59</f>
        <v>0</v>
      </c>
      <c r="Z60" s="30">
        <f t="shared" ref="Z60:Z91" ca="1" si="23">Z$2*$Q60*$Q$58+Z$3*$R60*$R$58+Z$4*$S60*$S$58+Z59</f>
        <v>0</v>
      </c>
      <c r="AA60" s="30">
        <f t="shared" ref="AA60:AA91" ca="1" si="24">AA$2*$Q60*$Q$58+AA$3*$R60*$R$58+AA$4*$S60*$S$58+AA59</f>
        <v>0</v>
      </c>
      <c r="AB60" s="30">
        <f t="shared" ref="AB60:AB91" ca="1" si="25">AB$2*$Q60*$Q$58+AB$3*$R60*$R$58+AB$4*$S60*$S$58+AB59</f>
        <v>0</v>
      </c>
      <c r="AC60" s="30">
        <f t="shared" ref="AC60:AC91" ca="1" si="26">AC$2*$Q60*$Q$58+AC$3*$R60*$R$58+AC$4*$S60*$S$58+AC59</f>
        <v>0</v>
      </c>
    </row>
    <row r="61" spans="3:29" x14ac:dyDescent="0.25">
      <c r="C61">
        <v>2021</v>
      </c>
      <c r="D61">
        <f t="shared" si="18"/>
        <v>8</v>
      </c>
      <c r="E61">
        <v>0</v>
      </c>
      <c r="F61">
        <v>0</v>
      </c>
      <c r="G61" s="30">
        <f t="shared" ca="1" si="11"/>
        <v>0.1261478527038308</v>
      </c>
      <c r="H61" s="30">
        <f t="shared" ca="1" si="12"/>
        <v>0.1261478527038308</v>
      </c>
      <c r="I61" s="30">
        <f t="shared" ca="1" si="13"/>
        <v>0.1261478527038308</v>
      </c>
      <c r="J61" s="30">
        <f t="shared" ca="1" si="14"/>
        <v>0.1261478527038308</v>
      </c>
      <c r="K61" s="30">
        <f t="shared" ca="1" si="15"/>
        <v>0</v>
      </c>
      <c r="L61" s="30">
        <f t="shared" ca="1" si="16"/>
        <v>0</v>
      </c>
      <c r="M61" s="30">
        <f t="shared" ca="1" si="17"/>
        <v>0</v>
      </c>
      <c r="N61">
        <v>1</v>
      </c>
      <c r="Q61">
        <v>0</v>
      </c>
      <c r="R61">
        <v>0</v>
      </c>
      <c r="S61">
        <v>0</v>
      </c>
      <c r="T61">
        <v>2</v>
      </c>
      <c r="U61" s="37">
        <v>0</v>
      </c>
      <c r="V61" s="37">
        <v>0</v>
      </c>
      <c r="W61" s="30">
        <f t="shared" ca="1" si="20"/>
        <v>0</v>
      </c>
      <c r="X61" s="30">
        <f t="shared" ca="1" si="21"/>
        <v>0</v>
      </c>
      <c r="Y61" s="30">
        <f t="shared" ca="1" si="22"/>
        <v>0</v>
      </c>
      <c r="Z61" s="30">
        <f t="shared" ca="1" si="23"/>
        <v>0</v>
      </c>
      <c r="AA61" s="30">
        <f t="shared" ca="1" si="24"/>
        <v>0</v>
      </c>
      <c r="AB61" s="30">
        <f t="shared" ca="1" si="25"/>
        <v>0</v>
      </c>
      <c r="AC61" s="30">
        <f t="shared" ca="1" si="26"/>
        <v>0</v>
      </c>
    </row>
    <row r="62" spans="3:29" x14ac:dyDescent="0.25">
      <c r="C62">
        <v>2021</v>
      </c>
      <c r="D62">
        <f t="shared" si="18"/>
        <v>9</v>
      </c>
      <c r="E62">
        <v>0</v>
      </c>
      <c r="F62">
        <v>0</v>
      </c>
      <c r="G62" s="30">
        <f t="shared" ca="1" si="11"/>
        <v>0.12838317973578894</v>
      </c>
      <c r="H62" s="30">
        <f t="shared" ca="1" si="12"/>
        <v>0.1298111688171156</v>
      </c>
      <c r="I62" s="30">
        <f t="shared" ca="1" si="13"/>
        <v>0.13178283667349791</v>
      </c>
      <c r="J62" s="30">
        <f t="shared" ca="1" si="14"/>
        <v>0.13493736489369088</v>
      </c>
      <c r="K62" s="30">
        <f t="shared" ca="1" si="15"/>
        <v>2.4351749854415752E-2</v>
      </c>
      <c r="L62" s="30">
        <f t="shared" ca="1" si="16"/>
        <v>3.3333333333333333E-2</v>
      </c>
      <c r="M62" s="30">
        <f t="shared" ca="1" si="17"/>
        <v>3.3333333333333333E-2</v>
      </c>
      <c r="N62">
        <v>1</v>
      </c>
      <c r="Q62">
        <v>0</v>
      </c>
      <c r="R62">
        <v>0</v>
      </c>
      <c r="S62">
        <v>0</v>
      </c>
      <c r="T62">
        <v>3</v>
      </c>
      <c r="U62" s="37">
        <v>0</v>
      </c>
      <c r="V62" s="37">
        <v>0</v>
      </c>
      <c r="W62" s="30">
        <f t="shared" ca="1" si="20"/>
        <v>0</v>
      </c>
      <c r="X62" s="30">
        <f t="shared" ca="1" si="21"/>
        <v>0</v>
      </c>
      <c r="Y62" s="30">
        <f t="shared" ca="1" si="22"/>
        <v>0</v>
      </c>
      <c r="Z62" s="30">
        <f t="shared" ca="1" si="23"/>
        <v>0</v>
      </c>
      <c r="AA62" s="30">
        <f t="shared" ca="1" si="24"/>
        <v>0</v>
      </c>
      <c r="AB62" s="30">
        <f t="shared" ca="1" si="25"/>
        <v>0</v>
      </c>
      <c r="AC62" s="30">
        <f t="shared" ca="1" si="26"/>
        <v>0</v>
      </c>
    </row>
    <row r="63" spans="3:29" x14ac:dyDescent="0.25">
      <c r="C63">
        <v>2021</v>
      </c>
      <c r="D63">
        <f t="shared" si="18"/>
        <v>10</v>
      </c>
      <c r="E63">
        <v>0</v>
      </c>
      <c r="F63">
        <v>0</v>
      </c>
      <c r="G63" s="30">
        <f t="shared" ca="1" si="11"/>
        <v>0.13061850676774708</v>
      </c>
      <c r="H63" s="30">
        <f t="shared" ca="1" si="12"/>
        <v>0.1334744849304004</v>
      </c>
      <c r="I63" s="30">
        <f t="shared" ca="1" si="13"/>
        <v>0.13741782064316502</v>
      </c>
      <c r="J63" s="30">
        <f t="shared" ca="1" si="14"/>
        <v>0.14372687708355095</v>
      </c>
      <c r="K63" s="30">
        <f t="shared" ca="1" si="15"/>
        <v>4.8703499708831505E-2</v>
      </c>
      <c r="L63" s="30">
        <f t="shared" ca="1" si="16"/>
        <v>6.6666666666666666E-2</v>
      </c>
      <c r="M63" s="30">
        <f t="shared" ca="1" si="17"/>
        <v>6.6666666666666666E-2</v>
      </c>
      <c r="N63">
        <v>1</v>
      </c>
      <c r="Q63">
        <v>0</v>
      </c>
      <c r="R63">
        <v>0</v>
      </c>
      <c r="S63">
        <v>0</v>
      </c>
      <c r="T63">
        <v>4</v>
      </c>
      <c r="U63" s="37">
        <v>0</v>
      </c>
      <c r="V63" s="37">
        <v>0</v>
      </c>
      <c r="W63" s="30">
        <f t="shared" ca="1" si="20"/>
        <v>0</v>
      </c>
      <c r="X63" s="30">
        <f t="shared" ca="1" si="21"/>
        <v>0</v>
      </c>
      <c r="Y63" s="30">
        <f t="shared" ca="1" si="22"/>
        <v>0</v>
      </c>
      <c r="Z63" s="30">
        <f t="shared" ca="1" si="23"/>
        <v>0</v>
      </c>
      <c r="AA63" s="30">
        <f t="shared" ca="1" si="24"/>
        <v>0</v>
      </c>
      <c r="AB63" s="30">
        <f t="shared" ca="1" si="25"/>
        <v>0</v>
      </c>
      <c r="AC63" s="30">
        <f t="shared" ca="1" si="26"/>
        <v>0</v>
      </c>
    </row>
    <row r="64" spans="3:29" x14ac:dyDescent="0.25">
      <c r="C64">
        <v>2021</v>
      </c>
      <c r="D64">
        <f t="shared" si="18"/>
        <v>11</v>
      </c>
      <c r="E64">
        <v>0</v>
      </c>
      <c r="F64">
        <v>0</v>
      </c>
      <c r="G64" s="30">
        <f t="shared" ca="1" si="11"/>
        <v>0.13285383379970522</v>
      </c>
      <c r="H64" s="30">
        <f t="shared" ca="1" si="12"/>
        <v>0.1371378010436852</v>
      </c>
      <c r="I64" s="30">
        <f t="shared" ca="1" si="13"/>
        <v>0.14305280461283212</v>
      </c>
      <c r="J64" s="30">
        <f t="shared" ca="1" si="14"/>
        <v>0.15251638927341102</v>
      </c>
      <c r="K64" s="30">
        <f t="shared" ca="1" si="15"/>
        <v>7.3055249563247257E-2</v>
      </c>
      <c r="L64" s="30">
        <f t="shared" ca="1" si="16"/>
        <v>0.1</v>
      </c>
      <c r="M64" s="30">
        <f t="shared" ca="1" si="17"/>
        <v>0.1</v>
      </c>
      <c r="N64">
        <v>1</v>
      </c>
      <c r="Q64">
        <v>0</v>
      </c>
      <c r="R64">
        <v>0</v>
      </c>
      <c r="S64">
        <v>0</v>
      </c>
      <c r="T64">
        <v>5</v>
      </c>
      <c r="U64" s="37">
        <v>0</v>
      </c>
      <c r="V64" s="37">
        <v>0</v>
      </c>
      <c r="W64" s="30">
        <f t="shared" ca="1" si="20"/>
        <v>0</v>
      </c>
      <c r="X64" s="30">
        <f t="shared" ca="1" si="21"/>
        <v>0</v>
      </c>
      <c r="Y64" s="30">
        <f t="shared" ca="1" si="22"/>
        <v>0</v>
      </c>
      <c r="Z64" s="30">
        <f t="shared" ca="1" si="23"/>
        <v>0</v>
      </c>
      <c r="AA64" s="30">
        <f t="shared" ca="1" si="24"/>
        <v>0</v>
      </c>
      <c r="AB64" s="30">
        <f t="shared" ca="1" si="25"/>
        <v>0</v>
      </c>
      <c r="AC64" s="30">
        <f t="shared" ca="1" si="26"/>
        <v>0</v>
      </c>
    </row>
    <row r="65" spans="3:29" x14ac:dyDescent="0.25">
      <c r="C65">
        <v>2021</v>
      </c>
      <c r="D65">
        <f t="shared" si="18"/>
        <v>12</v>
      </c>
      <c r="E65">
        <v>0</v>
      </c>
      <c r="F65">
        <v>0</v>
      </c>
      <c r="G65" s="41">
        <f t="shared" ca="1" si="11"/>
        <v>0.13508916083166336</v>
      </c>
      <c r="H65" s="41">
        <f t="shared" ca="1" si="12"/>
        <v>0.14080111715697</v>
      </c>
      <c r="I65" s="41">
        <f t="shared" ca="1" si="13"/>
        <v>0.14868778858249923</v>
      </c>
      <c r="J65" s="41">
        <f t="shared" ca="1" si="14"/>
        <v>0.16130590146327109</v>
      </c>
      <c r="K65" s="41">
        <f t="shared" ca="1" si="15"/>
        <v>9.7406999417663009E-2</v>
      </c>
      <c r="L65" s="41">
        <f t="shared" ca="1" si="16"/>
        <v>0.13333333333333333</v>
      </c>
      <c r="M65" s="41">
        <f t="shared" ca="1" si="17"/>
        <v>0.13333333333333333</v>
      </c>
      <c r="N65">
        <v>1</v>
      </c>
      <c r="Q65">
        <v>0</v>
      </c>
      <c r="R65">
        <v>0</v>
      </c>
      <c r="S65">
        <v>0</v>
      </c>
      <c r="T65">
        <v>6</v>
      </c>
      <c r="U65" s="37">
        <v>0</v>
      </c>
      <c r="V65" s="37">
        <v>0</v>
      </c>
      <c r="W65" s="30">
        <f t="shared" ca="1" si="20"/>
        <v>0</v>
      </c>
      <c r="X65" s="30">
        <f t="shared" ca="1" si="21"/>
        <v>0</v>
      </c>
      <c r="Y65" s="30">
        <f t="shared" ca="1" si="22"/>
        <v>0</v>
      </c>
      <c r="Z65" s="30">
        <f t="shared" ca="1" si="23"/>
        <v>0</v>
      </c>
      <c r="AA65" s="30">
        <f t="shared" ca="1" si="24"/>
        <v>0</v>
      </c>
      <c r="AB65" s="30">
        <f t="shared" ca="1" si="25"/>
        <v>0</v>
      </c>
      <c r="AC65" s="30">
        <f t="shared" ca="1" si="26"/>
        <v>0</v>
      </c>
    </row>
    <row r="66" spans="3:29" x14ac:dyDescent="0.25">
      <c r="C66">
        <v>2021</v>
      </c>
      <c r="D66">
        <f t="shared" si="18"/>
        <v>13</v>
      </c>
      <c r="E66">
        <v>0</v>
      </c>
      <c r="F66">
        <v>0</v>
      </c>
      <c r="G66" s="41">
        <f t="shared" ref="G66:M66" ca="1" si="27">+W18+W72</f>
        <v>0.1373244878636215</v>
      </c>
      <c r="H66" s="41">
        <f t="shared" ca="1" si="27"/>
        <v>0.14446443327025479</v>
      </c>
      <c r="I66" s="41">
        <f t="shared" ca="1" si="27"/>
        <v>0.15432277255216634</v>
      </c>
      <c r="J66" s="41">
        <f t="shared" ca="1" si="27"/>
        <v>0.17009541365313116</v>
      </c>
      <c r="K66" s="41">
        <f t="shared" ca="1" si="27"/>
        <v>0.12175874927207876</v>
      </c>
      <c r="L66" s="41">
        <f t="shared" ca="1" si="27"/>
        <v>0.16666666666666666</v>
      </c>
      <c r="M66" s="41">
        <f t="shared" ca="1" si="27"/>
        <v>0.16666666666666666</v>
      </c>
      <c r="N66">
        <v>1</v>
      </c>
      <c r="Q66">
        <v>0</v>
      </c>
      <c r="R66">
        <v>0</v>
      </c>
      <c r="S66">
        <v>0</v>
      </c>
      <c r="T66">
        <v>7</v>
      </c>
      <c r="U66" s="37">
        <v>0</v>
      </c>
      <c r="V66" s="37">
        <v>0</v>
      </c>
      <c r="W66" s="30">
        <f t="shared" ca="1" si="20"/>
        <v>0</v>
      </c>
      <c r="X66" s="30">
        <f t="shared" ca="1" si="21"/>
        <v>0</v>
      </c>
      <c r="Y66" s="30">
        <f t="shared" ca="1" si="22"/>
        <v>0</v>
      </c>
      <c r="Z66" s="30">
        <f t="shared" ca="1" si="23"/>
        <v>0</v>
      </c>
      <c r="AA66" s="30">
        <f t="shared" ca="1" si="24"/>
        <v>0</v>
      </c>
      <c r="AB66" s="30">
        <f t="shared" ca="1" si="25"/>
        <v>0</v>
      </c>
      <c r="AC66" s="30">
        <f t="shared" ca="1" si="26"/>
        <v>0</v>
      </c>
    </row>
    <row r="67" spans="3:29" x14ac:dyDescent="0.25">
      <c r="C67">
        <v>2021</v>
      </c>
      <c r="D67">
        <f t="shared" si="18"/>
        <v>14</v>
      </c>
      <c r="E67">
        <v>0</v>
      </c>
      <c r="F67">
        <v>0</v>
      </c>
      <c r="G67" s="41">
        <f t="shared" ref="G67:M67" ca="1" si="28">+W19+W73</f>
        <v>0.13955981489557964</v>
      </c>
      <c r="H67" s="41">
        <f t="shared" ca="1" si="28"/>
        <v>0.14812774938353959</v>
      </c>
      <c r="I67" s="41">
        <f t="shared" ca="1" si="28"/>
        <v>0.15995775652183344</v>
      </c>
      <c r="J67" s="41">
        <f t="shared" ca="1" si="28"/>
        <v>0.17888492584299123</v>
      </c>
      <c r="K67" s="41">
        <f t="shared" ca="1" si="28"/>
        <v>0.14611049912649451</v>
      </c>
      <c r="L67" s="41">
        <f t="shared" ca="1" si="28"/>
        <v>0.19999999999999998</v>
      </c>
      <c r="M67" s="41">
        <f t="shared" ca="1" si="28"/>
        <v>0.19999999999999998</v>
      </c>
      <c r="N67">
        <v>1</v>
      </c>
      <c r="Q67">
        <v>0</v>
      </c>
      <c r="R67">
        <v>0</v>
      </c>
      <c r="S67">
        <v>0</v>
      </c>
      <c r="T67">
        <v>8</v>
      </c>
      <c r="U67" s="37">
        <v>0</v>
      </c>
      <c r="V67" s="37">
        <v>0</v>
      </c>
      <c r="W67" s="30">
        <f t="shared" ca="1" si="20"/>
        <v>0</v>
      </c>
      <c r="X67" s="30">
        <f t="shared" ca="1" si="21"/>
        <v>0</v>
      </c>
      <c r="Y67" s="30">
        <f t="shared" ca="1" si="22"/>
        <v>0</v>
      </c>
      <c r="Z67" s="30">
        <f t="shared" ca="1" si="23"/>
        <v>0</v>
      </c>
      <c r="AA67" s="30">
        <f t="shared" ca="1" si="24"/>
        <v>0</v>
      </c>
      <c r="AB67" s="30">
        <f t="shared" ca="1" si="25"/>
        <v>0</v>
      </c>
      <c r="AC67" s="30">
        <f t="shared" ca="1" si="26"/>
        <v>0</v>
      </c>
    </row>
    <row r="68" spans="3:29" x14ac:dyDescent="0.25">
      <c r="C68">
        <v>2021</v>
      </c>
      <c r="D68">
        <f t="shared" si="18"/>
        <v>15</v>
      </c>
      <c r="E68">
        <v>0</v>
      </c>
      <c r="F68">
        <v>0</v>
      </c>
      <c r="G68" s="41">
        <f t="shared" ref="G68:M68" ca="1" si="29">+W20+W74</f>
        <v>0.14179514192753778</v>
      </c>
      <c r="H68" s="41">
        <f t="shared" ca="1" si="29"/>
        <v>0.15179106549682439</v>
      </c>
      <c r="I68" s="41">
        <f t="shared" ca="1" si="29"/>
        <v>0.16559274049150055</v>
      </c>
      <c r="J68" s="41">
        <f t="shared" ca="1" si="29"/>
        <v>0.1876744380328513</v>
      </c>
      <c r="K68" s="41">
        <f t="shared" ca="1" si="29"/>
        <v>0.17046224898091028</v>
      </c>
      <c r="L68" s="41">
        <f t="shared" ca="1" si="29"/>
        <v>0.23333333333333331</v>
      </c>
      <c r="M68" s="41">
        <f t="shared" ca="1" si="29"/>
        <v>0.23333333333333331</v>
      </c>
      <c r="N68">
        <v>1</v>
      </c>
      <c r="Q68">
        <v>0</v>
      </c>
      <c r="R68">
        <v>0</v>
      </c>
      <c r="S68">
        <v>0</v>
      </c>
      <c r="T68">
        <v>9</v>
      </c>
      <c r="U68" s="37">
        <v>0</v>
      </c>
      <c r="V68" s="37">
        <v>0</v>
      </c>
      <c r="W68" s="30">
        <f t="shared" ca="1" si="20"/>
        <v>0</v>
      </c>
      <c r="X68" s="30">
        <f t="shared" ca="1" si="21"/>
        <v>0</v>
      </c>
      <c r="Y68" s="30">
        <f t="shared" ca="1" si="22"/>
        <v>0</v>
      </c>
      <c r="Z68" s="30">
        <f t="shared" ca="1" si="23"/>
        <v>0</v>
      </c>
      <c r="AA68" s="30">
        <f t="shared" ca="1" si="24"/>
        <v>0</v>
      </c>
      <c r="AB68" s="30">
        <f t="shared" ca="1" si="25"/>
        <v>0</v>
      </c>
      <c r="AC68" s="30">
        <f t="shared" ca="1" si="26"/>
        <v>0</v>
      </c>
    </row>
    <row r="69" spans="3:29" x14ac:dyDescent="0.25">
      <c r="C69">
        <v>2021</v>
      </c>
      <c r="D69">
        <f t="shared" si="18"/>
        <v>16</v>
      </c>
      <c r="E69">
        <v>0</v>
      </c>
      <c r="F69">
        <v>0</v>
      </c>
      <c r="G69" s="41">
        <f t="shared" ref="G69:M69" ca="1" si="30">+W21+W75</f>
        <v>0.14403046895949592</v>
      </c>
      <c r="H69" s="41">
        <f t="shared" ca="1" si="30"/>
        <v>0.15545438161010919</v>
      </c>
      <c r="I69" s="41">
        <f t="shared" ca="1" si="30"/>
        <v>0.17122772446116766</v>
      </c>
      <c r="J69" s="41">
        <f t="shared" ca="1" si="30"/>
        <v>0.19646395022271138</v>
      </c>
      <c r="K69" s="41">
        <f t="shared" ca="1" si="30"/>
        <v>0.19481399883532602</v>
      </c>
      <c r="L69" s="41">
        <f t="shared" ca="1" si="30"/>
        <v>0.26666666666666666</v>
      </c>
      <c r="M69" s="41">
        <f t="shared" ca="1" si="30"/>
        <v>0.26666666666666666</v>
      </c>
      <c r="N69">
        <v>1</v>
      </c>
      <c r="Q69">
        <v>0</v>
      </c>
      <c r="R69">
        <v>0</v>
      </c>
      <c r="S69">
        <v>0</v>
      </c>
      <c r="T69">
        <v>10</v>
      </c>
      <c r="U69" s="37">
        <v>0</v>
      </c>
      <c r="V69" s="37">
        <v>0</v>
      </c>
      <c r="W69" s="30">
        <f t="shared" ca="1" si="20"/>
        <v>0</v>
      </c>
      <c r="X69" s="30">
        <f t="shared" ca="1" si="21"/>
        <v>0</v>
      </c>
      <c r="Y69" s="30">
        <f t="shared" ca="1" si="22"/>
        <v>0</v>
      </c>
      <c r="Z69" s="30">
        <f t="shared" ca="1" si="23"/>
        <v>0</v>
      </c>
      <c r="AA69" s="30">
        <f t="shared" ca="1" si="24"/>
        <v>0</v>
      </c>
      <c r="AB69" s="30">
        <f t="shared" ca="1" si="25"/>
        <v>0</v>
      </c>
      <c r="AC69" s="30">
        <f t="shared" ca="1" si="26"/>
        <v>0</v>
      </c>
    </row>
    <row r="70" spans="3:29" x14ac:dyDescent="0.25">
      <c r="C70">
        <v>2021</v>
      </c>
      <c r="D70">
        <f t="shared" si="18"/>
        <v>17</v>
      </c>
      <c r="E70">
        <v>0</v>
      </c>
      <c r="F70">
        <v>0</v>
      </c>
      <c r="G70" s="41">
        <f t="shared" ref="G70:M70" ca="1" si="31">+W22+W76</f>
        <v>0.14626579599145406</v>
      </c>
      <c r="H70" s="41">
        <f t="shared" ca="1" si="31"/>
        <v>0.15911769772339399</v>
      </c>
      <c r="I70" s="41">
        <f t="shared" ca="1" si="31"/>
        <v>0.17686270843083476</v>
      </c>
      <c r="J70" s="41">
        <f t="shared" ca="1" si="31"/>
        <v>0.20525346241257145</v>
      </c>
      <c r="K70" s="41">
        <f t="shared" ca="1" si="31"/>
        <v>0.21916574868974176</v>
      </c>
      <c r="L70" s="41">
        <f t="shared" ca="1" si="31"/>
        <v>0.3</v>
      </c>
      <c r="M70" s="41">
        <f t="shared" ca="1" si="31"/>
        <v>0.3</v>
      </c>
      <c r="N70">
        <v>1</v>
      </c>
      <c r="Q70">
        <v>0</v>
      </c>
      <c r="R70">
        <v>0</v>
      </c>
      <c r="S70">
        <v>0</v>
      </c>
      <c r="T70">
        <v>11</v>
      </c>
      <c r="U70" s="37">
        <v>0</v>
      </c>
      <c r="V70" s="37">
        <v>0</v>
      </c>
      <c r="W70" s="30">
        <f t="shared" ca="1" si="20"/>
        <v>0</v>
      </c>
      <c r="X70" s="30">
        <f t="shared" ca="1" si="21"/>
        <v>0</v>
      </c>
      <c r="Y70" s="30">
        <f t="shared" ca="1" si="22"/>
        <v>0</v>
      </c>
      <c r="Z70" s="30">
        <f t="shared" ca="1" si="23"/>
        <v>0</v>
      </c>
      <c r="AA70" s="30">
        <f t="shared" ca="1" si="24"/>
        <v>0</v>
      </c>
      <c r="AB70" s="30">
        <f t="shared" ca="1" si="25"/>
        <v>0</v>
      </c>
      <c r="AC70" s="30">
        <f t="shared" ca="1" si="26"/>
        <v>0</v>
      </c>
    </row>
    <row r="71" spans="3:29" x14ac:dyDescent="0.25">
      <c r="C71">
        <v>2021</v>
      </c>
      <c r="D71">
        <f t="shared" si="18"/>
        <v>18</v>
      </c>
      <c r="E71">
        <v>0</v>
      </c>
      <c r="F71">
        <v>0</v>
      </c>
      <c r="G71" s="41">
        <f t="shared" ref="G71:M71" ca="1" si="32">+W23+W77</f>
        <v>0.1485011230234122</v>
      </c>
      <c r="H71" s="41">
        <f t="shared" ca="1" si="32"/>
        <v>0.16278101383667878</v>
      </c>
      <c r="I71" s="41">
        <f t="shared" ca="1" si="32"/>
        <v>0.18249769240050187</v>
      </c>
      <c r="J71" s="41">
        <f t="shared" ca="1" si="32"/>
        <v>0.21404297460243152</v>
      </c>
      <c r="K71" s="41">
        <f t="shared" ca="1" si="32"/>
        <v>0.2435174985441575</v>
      </c>
      <c r="L71" s="41">
        <f t="shared" ca="1" si="32"/>
        <v>0.33333333333333331</v>
      </c>
      <c r="M71" s="41">
        <f t="shared" ca="1" si="32"/>
        <v>0.33333333333333331</v>
      </c>
      <c r="N71">
        <v>1</v>
      </c>
      <c r="Q71">
        <v>0</v>
      </c>
      <c r="R71">
        <v>0</v>
      </c>
      <c r="S71">
        <v>0</v>
      </c>
      <c r="T71">
        <v>12</v>
      </c>
      <c r="U71" s="37">
        <v>0</v>
      </c>
      <c r="V71" s="37">
        <v>0</v>
      </c>
      <c r="W71" s="30">
        <f t="shared" ca="1" si="20"/>
        <v>0</v>
      </c>
      <c r="X71" s="30">
        <f t="shared" ca="1" si="21"/>
        <v>0</v>
      </c>
      <c r="Y71" s="30">
        <f t="shared" ca="1" si="22"/>
        <v>0</v>
      </c>
      <c r="Z71" s="30">
        <f t="shared" ca="1" si="23"/>
        <v>0</v>
      </c>
      <c r="AA71" s="30">
        <f t="shared" ca="1" si="24"/>
        <v>0</v>
      </c>
      <c r="AB71" s="30">
        <f t="shared" ca="1" si="25"/>
        <v>0</v>
      </c>
      <c r="AC71" s="30">
        <f t="shared" ca="1" si="26"/>
        <v>0</v>
      </c>
    </row>
    <row r="72" spans="3:29" x14ac:dyDescent="0.25">
      <c r="C72">
        <v>2021</v>
      </c>
      <c r="D72">
        <f t="shared" si="18"/>
        <v>19</v>
      </c>
      <c r="E72">
        <v>0</v>
      </c>
      <c r="F72">
        <v>0</v>
      </c>
      <c r="G72" s="41">
        <f t="shared" ref="G72:M72" ca="1" si="33">+W24+W78</f>
        <v>0.15073645005537034</v>
      </c>
      <c r="H72" s="41">
        <f t="shared" ca="1" si="33"/>
        <v>0.16644432994996358</v>
      </c>
      <c r="I72" s="41">
        <f t="shared" ca="1" si="33"/>
        <v>0.18813267637016898</v>
      </c>
      <c r="J72" s="41">
        <f t="shared" ca="1" si="33"/>
        <v>0.22283248679229159</v>
      </c>
      <c r="K72" s="41">
        <f t="shared" ca="1" si="33"/>
        <v>0.26786924839857323</v>
      </c>
      <c r="L72" s="41">
        <f t="shared" ca="1" si="33"/>
        <v>0.36666666666666664</v>
      </c>
      <c r="M72" s="41">
        <f t="shared" ca="1" si="33"/>
        <v>0.36666666666666664</v>
      </c>
      <c r="N72">
        <v>1</v>
      </c>
      <c r="Q72">
        <v>0</v>
      </c>
      <c r="R72">
        <v>0</v>
      </c>
      <c r="S72">
        <v>0</v>
      </c>
      <c r="T72">
        <v>13</v>
      </c>
      <c r="U72" s="37">
        <v>0</v>
      </c>
      <c r="V72" s="37">
        <v>0</v>
      </c>
      <c r="W72" s="30">
        <f t="shared" ca="1" si="20"/>
        <v>0</v>
      </c>
      <c r="X72" s="30">
        <f t="shared" ca="1" si="21"/>
        <v>0</v>
      </c>
      <c r="Y72" s="30">
        <f t="shared" ca="1" si="22"/>
        <v>0</v>
      </c>
      <c r="Z72" s="30">
        <f t="shared" ca="1" si="23"/>
        <v>0</v>
      </c>
      <c r="AA72" s="30">
        <f t="shared" ca="1" si="24"/>
        <v>0</v>
      </c>
      <c r="AB72" s="30">
        <f t="shared" ca="1" si="25"/>
        <v>0</v>
      </c>
      <c r="AC72" s="30">
        <f t="shared" ca="1" si="26"/>
        <v>0</v>
      </c>
    </row>
    <row r="73" spans="3:29" x14ac:dyDescent="0.25">
      <c r="C73">
        <v>2021</v>
      </c>
      <c r="D73">
        <f t="shared" si="18"/>
        <v>20</v>
      </c>
      <c r="E73">
        <v>0</v>
      </c>
      <c r="F73">
        <v>0</v>
      </c>
      <c r="G73" s="41">
        <f t="shared" ref="G73:M73" ca="1" si="34">+W25+W79</f>
        <v>0.15297177708732848</v>
      </c>
      <c r="H73" s="41">
        <f t="shared" ca="1" si="34"/>
        <v>0.17010764606324838</v>
      </c>
      <c r="I73" s="41">
        <f t="shared" ca="1" si="34"/>
        <v>0.19376766033983608</v>
      </c>
      <c r="J73" s="41">
        <f t="shared" ca="1" si="34"/>
        <v>0.23162199898215166</v>
      </c>
      <c r="K73" s="41">
        <f t="shared" ca="1" si="34"/>
        <v>0.29222099825298897</v>
      </c>
      <c r="L73" s="41">
        <f t="shared" ca="1" si="34"/>
        <v>0.39999999999999997</v>
      </c>
      <c r="M73" s="41">
        <f t="shared" ca="1" si="34"/>
        <v>0.39999999999999997</v>
      </c>
      <c r="N73">
        <v>1</v>
      </c>
      <c r="Q73">
        <v>0</v>
      </c>
      <c r="R73">
        <v>0</v>
      </c>
      <c r="S73">
        <v>0</v>
      </c>
      <c r="T73">
        <v>14</v>
      </c>
      <c r="U73" s="37">
        <v>0</v>
      </c>
      <c r="V73" s="37">
        <v>0</v>
      </c>
      <c r="W73" s="30">
        <f t="shared" ca="1" si="20"/>
        <v>0</v>
      </c>
      <c r="X73" s="30">
        <f t="shared" ca="1" si="21"/>
        <v>0</v>
      </c>
      <c r="Y73" s="30">
        <f t="shared" ca="1" si="22"/>
        <v>0</v>
      </c>
      <c r="Z73" s="30">
        <f t="shared" ca="1" si="23"/>
        <v>0</v>
      </c>
      <c r="AA73" s="30">
        <f t="shared" ca="1" si="24"/>
        <v>0</v>
      </c>
      <c r="AB73" s="30">
        <f t="shared" ca="1" si="25"/>
        <v>0</v>
      </c>
      <c r="AC73" s="30">
        <f t="shared" ca="1" si="26"/>
        <v>0</v>
      </c>
    </row>
    <row r="74" spans="3:29" x14ac:dyDescent="0.25">
      <c r="C74">
        <v>2021</v>
      </c>
      <c r="D74">
        <f t="shared" si="18"/>
        <v>21</v>
      </c>
      <c r="E74">
        <v>0</v>
      </c>
      <c r="F74">
        <v>0</v>
      </c>
      <c r="G74" s="41">
        <f t="shared" ref="G74:M74" ca="1" si="35">+W26+W80</f>
        <v>0.15520710411928662</v>
      </c>
      <c r="H74" s="41">
        <f t="shared" ca="1" si="35"/>
        <v>0.17377096217653318</v>
      </c>
      <c r="I74" s="41">
        <f t="shared" ca="1" si="35"/>
        <v>0.19940264430950319</v>
      </c>
      <c r="J74" s="41">
        <f t="shared" ca="1" si="35"/>
        <v>0.24041151117201173</v>
      </c>
      <c r="K74" s="41">
        <f t="shared" ca="1" si="35"/>
        <v>0.31657274810740471</v>
      </c>
      <c r="L74" s="41">
        <f t="shared" ca="1" si="35"/>
        <v>0.43333333333333329</v>
      </c>
      <c r="M74" s="41">
        <f t="shared" ca="1" si="35"/>
        <v>0.43333333333333329</v>
      </c>
      <c r="N74">
        <v>1</v>
      </c>
      <c r="Q74">
        <v>0</v>
      </c>
      <c r="R74">
        <v>0</v>
      </c>
      <c r="S74">
        <v>0</v>
      </c>
      <c r="T74">
        <v>15</v>
      </c>
      <c r="U74" s="37">
        <v>0</v>
      </c>
      <c r="V74" s="37">
        <v>0</v>
      </c>
      <c r="W74" s="30">
        <f t="shared" ca="1" si="20"/>
        <v>0</v>
      </c>
      <c r="X74" s="30">
        <f t="shared" ca="1" si="21"/>
        <v>0</v>
      </c>
      <c r="Y74" s="30">
        <f t="shared" ca="1" si="22"/>
        <v>0</v>
      </c>
      <c r="Z74" s="30">
        <f t="shared" ca="1" si="23"/>
        <v>0</v>
      </c>
      <c r="AA74" s="30">
        <f t="shared" ca="1" si="24"/>
        <v>0</v>
      </c>
      <c r="AB74" s="30">
        <f t="shared" ca="1" si="25"/>
        <v>0</v>
      </c>
      <c r="AC74" s="30">
        <f t="shared" ca="1" si="26"/>
        <v>0</v>
      </c>
    </row>
    <row r="75" spans="3:29" x14ac:dyDescent="0.25">
      <c r="C75">
        <v>2021</v>
      </c>
      <c r="D75">
        <f t="shared" si="18"/>
        <v>22</v>
      </c>
      <c r="E75">
        <v>0</v>
      </c>
      <c r="F75">
        <v>0</v>
      </c>
      <c r="G75" s="41">
        <f t="shared" ref="G75:M75" ca="1" si="36">+W27+W81</f>
        <v>0.15744243115124476</v>
      </c>
      <c r="H75" s="41">
        <f t="shared" ca="1" si="36"/>
        <v>0.17743427828981798</v>
      </c>
      <c r="I75" s="41">
        <f t="shared" ca="1" si="36"/>
        <v>0.2050376282791703</v>
      </c>
      <c r="J75" s="41">
        <f t="shared" ca="1" si="36"/>
        <v>0.2492010233618718</v>
      </c>
      <c r="K75" s="41">
        <f t="shared" ca="1" si="36"/>
        <v>0.34092449796182045</v>
      </c>
      <c r="L75" s="41">
        <f t="shared" ca="1" si="36"/>
        <v>0.46666666666666662</v>
      </c>
      <c r="M75" s="41">
        <f t="shared" ca="1" si="36"/>
        <v>0.46666666666666662</v>
      </c>
      <c r="N75">
        <v>1</v>
      </c>
      <c r="Q75">
        <v>0</v>
      </c>
      <c r="R75">
        <v>0</v>
      </c>
      <c r="S75">
        <v>0</v>
      </c>
      <c r="T75">
        <v>16</v>
      </c>
      <c r="U75" s="37">
        <v>0</v>
      </c>
      <c r="V75" s="37">
        <v>0</v>
      </c>
      <c r="W75" s="30">
        <f t="shared" ca="1" si="20"/>
        <v>0</v>
      </c>
      <c r="X75" s="30">
        <f t="shared" ca="1" si="21"/>
        <v>0</v>
      </c>
      <c r="Y75" s="30">
        <f t="shared" ca="1" si="22"/>
        <v>0</v>
      </c>
      <c r="Z75" s="30">
        <f t="shared" ca="1" si="23"/>
        <v>0</v>
      </c>
      <c r="AA75" s="30">
        <f t="shared" ca="1" si="24"/>
        <v>0</v>
      </c>
      <c r="AB75" s="30">
        <f t="shared" ca="1" si="25"/>
        <v>0</v>
      </c>
      <c r="AC75" s="30">
        <f t="shared" ca="1" si="26"/>
        <v>0</v>
      </c>
    </row>
    <row r="76" spans="3:29" x14ac:dyDescent="0.25">
      <c r="C76">
        <v>2021</v>
      </c>
      <c r="D76">
        <f t="shared" si="18"/>
        <v>23</v>
      </c>
      <c r="E76">
        <v>0</v>
      </c>
      <c r="F76">
        <v>0</v>
      </c>
      <c r="G76" s="41">
        <f t="shared" ref="G76:M76" ca="1" si="37">+W28+W82</f>
        <v>0.1596777581832029</v>
      </c>
      <c r="H76" s="41">
        <f t="shared" ca="1" si="37"/>
        <v>0.18109759440310277</v>
      </c>
      <c r="I76" s="41">
        <f t="shared" ca="1" si="37"/>
        <v>0.2106726122488374</v>
      </c>
      <c r="J76" s="41">
        <f t="shared" ca="1" si="37"/>
        <v>0.2579905355517319</v>
      </c>
      <c r="K76" s="41">
        <f t="shared" ca="1" si="37"/>
        <v>0.36527624781623619</v>
      </c>
      <c r="L76" s="41">
        <f t="shared" ca="1" si="37"/>
        <v>0.49999999999999994</v>
      </c>
      <c r="M76" s="41">
        <f t="shared" ca="1" si="37"/>
        <v>0.49999999999999994</v>
      </c>
      <c r="N76">
        <v>1</v>
      </c>
      <c r="Q76">
        <v>0</v>
      </c>
      <c r="R76">
        <v>0</v>
      </c>
      <c r="S76">
        <v>0</v>
      </c>
      <c r="T76">
        <v>17</v>
      </c>
      <c r="U76" s="37">
        <v>0</v>
      </c>
      <c r="V76" s="37">
        <v>0</v>
      </c>
      <c r="W76" s="30">
        <f t="shared" ca="1" si="20"/>
        <v>0</v>
      </c>
      <c r="X76" s="30">
        <f t="shared" ca="1" si="21"/>
        <v>0</v>
      </c>
      <c r="Y76" s="30">
        <f t="shared" ca="1" si="22"/>
        <v>0</v>
      </c>
      <c r="Z76" s="30">
        <f t="shared" ca="1" si="23"/>
        <v>0</v>
      </c>
      <c r="AA76" s="30">
        <f t="shared" ca="1" si="24"/>
        <v>0</v>
      </c>
      <c r="AB76" s="30">
        <f t="shared" ca="1" si="25"/>
        <v>0</v>
      </c>
      <c r="AC76" s="30">
        <f t="shared" ca="1" si="26"/>
        <v>0</v>
      </c>
    </row>
    <row r="77" spans="3:29" x14ac:dyDescent="0.25">
      <c r="C77">
        <v>2021</v>
      </c>
      <c r="D77">
        <f t="shared" si="18"/>
        <v>24</v>
      </c>
      <c r="E77">
        <v>0</v>
      </c>
      <c r="F77">
        <v>0</v>
      </c>
      <c r="G77" s="41">
        <f t="shared" ref="G77:M77" ca="1" si="38">+W29+W83</f>
        <v>0.16191308521516104</v>
      </c>
      <c r="H77" s="41">
        <f t="shared" ca="1" si="38"/>
        <v>0.18476091051638757</v>
      </c>
      <c r="I77" s="41">
        <f t="shared" ca="1" si="38"/>
        <v>0.21630759621850451</v>
      </c>
      <c r="J77" s="41">
        <f t="shared" ca="1" si="38"/>
        <v>0.26678004774159197</v>
      </c>
      <c r="K77" s="41">
        <f t="shared" ca="1" si="38"/>
        <v>0.38962799767065193</v>
      </c>
      <c r="L77" s="41">
        <f t="shared" ca="1" si="38"/>
        <v>0.53333333333333333</v>
      </c>
      <c r="M77" s="41">
        <f t="shared" ca="1" si="38"/>
        <v>0.53333333333333333</v>
      </c>
      <c r="N77">
        <v>1</v>
      </c>
      <c r="Q77">
        <v>0</v>
      </c>
      <c r="R77">
        <v>0</v>
      </c>
      <c r="S77">
        <v>0</v>
      </c>
      <c r="T77">
        <v>18</v>
      </c>
      <c r="U77" s="37">
        <v>0</v>
      </c>
      <c r="V77" s="37">
        <v>0</v>
      </c>
      <c r="W77" s="30">
        <f t="shared" ca="1" si="20"/>
        <v>0</v>
      </c>
      <c r="X77" s="30">
        <f t="shared" ca="1" si="21"/>
        <v>0</v>
      </c>
      <c r="Y77" s="30">
        <f t="shared" ca="1" si="22"/>
        <v>0</v>
      </c>
      <c r="Z77" s="30">
        <f t="shared" ca="1" si="23"/>
        <v>0</v>
      </c>
      <c r="AA77" s="30">
        <f t="shared" ca="1" si="24"/>
        <v>0</v>
      </c>
      <c r="AB77" s="30">
        <f t="shared" ca="1" si="25"/>
        <v>0</v>
      </c>
      <c r="AC77" s="30">
        <f t="shared" ca="1" si="26"/>
        <v>0</v>
      </c>
    </row>
    <row r="78" spans="3:29" x14ac:dyDescent="0.25">
      <c r="C78">
        <v>2021</v>
      </c>
      <c r="D78">
        <f t="shared" si="18"/>
        <v>25</v>
      </c>
      <c r="E78">
        <v>0</v>
      </c>
      <c r="F78">
        <v>0</v>
      </c>
      <c r="G78" s="41">
        <f t="shared" ref="G78:M78" ca="1" si="39">+W30+W84</f>
        <v>0.16414841224711918</v>
      </c>
      <c r="H78" s="41">
        <f t="shared" ca="1" si="39"/>
        <v>0.18842422662967237</v>
      </c>
      <c r="I78" s="41">
        <f t="shared" ca="1" si="39"/>
        <v>0.22194258018817162</v>
      </c>
      <c r="J78" s="41">
        <f t="shared" ca="1" si="39"/>
        <v>0.27556955993145205</v>
      </c>
      <c r="K78" s="41">
        <f t="shared" ca="1" si="39"/>
        <v>0.41397974752506767</v>
      </c>
      <c r="L78" s="41">
        <f t="shared" ca="1" si="39"/>
        <v>0.56666666666666665</v>
      </c>
      <c r="M78" s="41">
        <f t="shared" ca="1" si="39"/>
        <v>0.56666666666666665</v>
      </c>
      <c r="N78">
        <v>1</v>
      </c>
      <c r="Q78">
        <v>0</v>
      </c>
      <c r="R78">
        <v>0</v>
      </c>
      <c r="S78">
        <v>0</v>
      </c>
      <c r="T78">
        <v>19</v>
      </c>
      <c r="U78" s="37">
        <v>0</v>
      </c>
      <c r="V78" s="37">
        <v>0</v>
      </c>
      <c r="W78" s="30">
        <f t="shared" ca="1" si="20"/>
        <v>0</v>
      </c>
      <c r="X78" s="30">
        <f t="shared" ca="1" si="21"/>
        <v>0</v>
      </c>
      <c r="Y78" s="30">
        <f t="shared" ca="1" si="22"/>
        <v>0</v>
      </c>
      <c r="Z78" s="30">
        <f t="shared" ca="1" si="23"/>
        <v>0</v>
      </c>
      <c r="AA78" s="30">
        <f t="shared" ca="1" si="24"/>
        <v>0</v>
      </c>
      <c r="AB78" s="30">
        <f t="shared" ca="1" si="25"/>
        <v>0</v>
      </c>
      <c r="AC78" s="30">
        <f t="shared" ca="1" si="26"/>
        <v>0</v>
      </c>
    </row>
    <row r="79" spans="3:29" x14ac:dyDescent="0.25">
      <c r="C79">
        <v>2021</v>
      </c>
      <c r="D79">
        <f t="shared" si="18"/>
        <v>26</v>
      </c>
      <c r="E79">
        <v>0</v>
      </c>
      <c r="F79">
        <v>0</v>
      </c>
      <c r="G79" s="41">
        <f t="shared" ref="G79:M79" ca="1" si="40">+W31+W85</f>
        <v>0.16638373927907732</v>
      </c>
      <c r="H79" s="41">
        <f t="shared" ca="1" si="40"/>
        <v>0.19208754274295717</v>
      </c>
      <c r="I79" s="41">
        <f t="shared" ca="1" si="40"/>
        <v>0.22757756415783872</v>
      </c>
      <c r="J79" s="41">
        <f t="shared" ca="1" si="40"/>
        <v>0.28435907212131212</v>
      </c>
      <c r="K79" s="41">
        <f t="shared" ca="1" si="40"/>
        <v>0.4383314973794834</v>
      </c>
      <c r="L79" s="41">
        <f t="shared" ca="1" si="40"/>
        <v>0.6</v>
      </c>
      <c r="M79" s="41">
        <f t="shared" ca="1" si="40"/>
        <v>0.6</v>
      </c>
      <c r="N79">
        <v>1</v>
      </c>
      <c r="Q79">
        <v>0</v>
      </c>
      <c r="R79">
        <v>0</v>
      </c>
      <c r="S79">
        <v>0</v>
      </c>
      <c r="T79">
        <v>20</v>
      </c>
      <c r="U79" s="37">
        <v>0</v>
      </c>
      <c r="V79" s="37">
        <v>0</v>
      </c>
      <c r="W79" s="30">
        <f t="shared" ca="1" si="20"/>
        <v>0</v>
      </c>
      <c r="X79" s="30">
        <f t="shared" ca="1" si="21"/>
        <v>0</v>
      </c>
      <c r="Y79" s="30">
        <f t="shared" ca="1" si="22"/>
        <v>0</v>
      </c>
      <c r="Z79" s="30">
        <f t="shared" ca="1" si="23"/>
        <v>0</v>
      </c>
      <c r="AA79" s="30">
        <f t="shared" ca="1" si="24"/>
        <v>0</v>
      </c>
      <c r="AB79" s="30">
        <f t="shared" ca="1" si="25"/>
        <v>0</v>
      </c>
      <c r="AC79" s="30">
        <f t="shared" ca="1" si="26"/>
        <v>0</v>
      </c>
    </row>
    <row r="80" spans="3:29" x14ac:dyDescent="0.25">
      <c r="C80">
        <v>2021</v>
      </c>
      <c r="D80">
        <f t="shared" si="18"/>
        <v>27</v>
      </c>
      <c r="E80">
        <v>0</v>
      </c>
      <c r="F80">
        <v>0</v>
      </c>
      <c r="G80" s="41">
        <f t="shared" ref="G80:M80" ca="1" si="41">+W32+W86</f>
        <v>0.18306128776834357</v>
      </c>
      <c r="H80" s="41">
        <f t="shared" ca="1" si="41"/>
        <v>0.20777648340668958</v>
      </c>
      <c r="I80" s="41">
        <f t="shared" ca="1" si="41"/>
        <v>0.24190150399792185</v>
      </c>
      <c r="J80" s="41">
        <f t="shared" ca="1" si="41"/>
        <v>0.29649910780895394</v>
      </c>
      <c r="K80" s="41">
        <f t="shared" ca="1" si="41"/>
        <v>0.4445495167110417</v>
      </c>
      <c r="L80" s="41">
        <f t="shared" ca="1" si="41"/>
        <v>0.6</v>
      </c>
      <c r="M80" s="41">
        <f t="shared" ca="1" si="41"/>
        <v>0.6</v>
      </c>
      <c r="N80">
        <v>1</v>
      </c>
      <c r="Q80">
        <v>0</v>
      </c>
      <c r="R80">
        <v>0</v>
      </c>
      <c r="S80">
        <v>0</v>
      </c>
      <c r="T80">
        <v>21</v>
      </c>
      <c r="U80" s="37">
        <v>0</v>
      </c>
      <c r="V80" s="37">
        <v>0</v>
      </c>
      <c r="W80" s="30">
        <f t="shared" ca="1" si="20"/>
        <v>0</v>
      </c>
      <c r="X80" s="30">
        <f t="shared" ca="1" si="21"/>
        <v>0</v>
      </c>
      <c r="Y80" s="30">
        <f t="shared" ca="1" si="22"/>
        <v>0</v>
      </c>
      <c r="Z80" s="30">
        <f t="shared" ca="1" si="23"/>
        <v>0</v>
      </c>
      <c r="AA80" s="30">
        <f t="shared" ca="1" si="24"/>
        <v>0</v>
      </c>
      <c r="AB80" s="30">
        <f t="shared" ca="1" si="25"/>
        <v>0</v>
      </c>
      <c r="AC80" s="30">
        <f t="shared" ca="1" si="26"/>
        <v>0</v>
      </c>
    </row>
    <row r="81" spans="3:29" x14ac:dyDescent="0.25">
      <c r="C81">
        <v>2021</v>
      </c>
      <c r="D81">
        <f t="shared" si="18"/>
        <v>28</v>
      </c>
      <c r="E81">
        <v>0</v>
      </c>
      <c r="F81">
        <v>0</v>
      </c>
      <c r="G81" s="41">
        <f t="shared" ref="G81:M81" ca="1" si="42">+W33+W87</f>
        <v>0.19973883625760985</v>
      </c>
      <c r="H81" s="41">
        <f t="shared" ca="1" si="42"/>
        <v>0.223465424070422</v>
      </c>
      <c r="I81" s="41">
        <f t="shared" ca="1" si="42"/>
        <v>0.256225443838005</v>
      </c>
      <c r="J81" s="41">
        <f t="shared" ca="1" si="42"/>
        <v>0.30863914349659577</v>
      </c>
      <c r="K81" s="41">
        <f t="shared" ca="1" si="42"/>
        <v>0.45076753604260006</v>
      </c>
      <c r="L81" s="41">
        <f t="shared" ca="1" si="42"/>
        <v>0.6</v>
      </c>
      <c r="M81" s="41">
        <f t="shared" ca="1" si="42"/>
        <v>0.6</v>
      </c>
      <c r="N81">
        <v>1</v>
      </c>
      <c r="Q81">
        <v>0</v>
      </c>
      <c r="R81">
        <v>0</v>
      </c>
      <c r="S81">
        <v>0</v>
      </c>
      <c r="T81">
        <v>22</v>
      </c>
      <c r="U81" s="37">
        <v>0</v>
      </c>
      <c r="V81" s="37">
        <v>0</v>
      </c>
      <c r="W81" s="30">
        <f t="shared" ca="1" si="20"/>
        <v>0</v>
      </c>
      <c r="X81" s="30">
        <f t="shared" ca="1" si="21"/>
        <v>0</v>
      </c>
      <c r="Y81" s="30">
        <f t="shared" ca="1" si="22"/>
        <v>0</v>
      </c>
      <c r="Z81" s="30">
        <f t="shared" ca="1" si="23"/>
        <v>0</v>
      </c>
      <c r="AA81" s="30">
        <f t="shared" ca="1" si="24"/>
        <v>0</v>
      </c>
      <c r="AB81" s="30">
        <f t="shared" ca="1" si="25"/>
        <v>0</v>
      </c>
      <c r="AC81" s="30">
        <f t="shared" ca="1" si="26"/>
        <v>0</v>
      </c>
    </row>
    <row r="82" spans="3:29" x14ac:dyDescent="0.25">
      <c r="C82">
        <v>2021</v>
      </c>
      <c r="D82">
        <f t="shared" si="18"/>
        <v>29</v>
      </c>
      <c r="E82">
        <v>0</v>
      </c>
      <c r="F82">
        <v>0</v>
      </c>
      <c r="G82" s="41">
        <f t="shared" ref="G82:M82" ca="1" si="43">+W34+W88</f>
        <v>0.21641638474687611</v>
      </c>
      <c r="H82" s="41">
        <f t="shared" ca="1" si="43"/>
        <v>0.23915436473415441</v>
      </c>
      <c r="I82" s="41">
        <f t="shared" ca="1" si="43"/>
        <v>0.27054938367808812</v>
      </c>
      <c r="J82" s="41">
        <f t="shared" ca="1" si="43"/>
        <v>0.3207791791842376</v>
      </c>
      <c r="K82" s="41">
        <f t="shared" ca="1" si="43"/>
        <v>0.45698555537415836</v>
      </c>
      <c r="L82" s="41">
        <f t="shared" ca="1" si="43"/>
        <v>0.6</v>
      </c>
      <c r="M82" s="41">
        <f t="shared" ca="1" si="43"/>
        <v>0.6</v>
      </c>
      <c r="N82">
        <v>1</v>
      </c>
      <c r="Q82">
        <v>0</v>
      </c>
      <c r="R82">
        <v>0</v>
      </c>
      <c r="S82">
        <v>0</v>
      </c>
      <c r="T82">
        <v>23</v>
      </c>
      <c r="U82" s="37">
        <v>0</v>
      </c>
      <c r="V82" s="37">
        <v>0</v>
      </c>
      <c r="W82" s="30">
        <f t="shared" ca="1" si="20"/>
        <v>0</v>
      </c>
      <c r="X82" s="30">
        <f t="shared" ca="1" si="21"/>
        <v>0</v>
      </c>
      <c r="Y82" s="30">
        <f t="shared" ca="1" si="22"/>
        <v>0</v>
      </c>
      <c r="Z82" s="30">
        <f t="shared" ca="1" si="23"/>
        <v>0</v>
      </c>
      <c r="AA82" s="30">
        <f t="shared" ca="1" si="24"/>
        <v>0</v>
      </c>
      <c r="AB82" s="30">
        <f t="shared" ca="1" si="25"/>
        <v>0</v>
      </c>
      <c r="AC82" s="30">
        <f t="shared" ca="1" si="26"/>
        <v>0</v>
      </c>
    </row>
    <row r="83" spans="3:29" x14ac:dyDescent="0.25">
      <c r="C83">
        <v>2021</v>
      </c>
      <c r="D83">
        <f t="shared" si="18"/>
        <v>30</v>
      </c>
      <c r="E83">
        <v>0</v>
      </c>
      <c r="F83">
        <v>0</v>
      </c>
      <c r="G83" s="41">
        <f t="shared" ref="G83:M83" ca="1" si="44">+W35+W89</f>
        <v>0.23309393323614236</v>
      </c>
      <c r="H83" s="41">
        <f t="shared" ca="1" si="44"/>
        <v>0.25484330539788685</v>
      </c>
      <c r="I83" s="41">
        <f t="shared" ca="1" si="44"/>
        <v>0.28487332351817124</v>
      </c>
      <c r="J83" s="41">
        <f t="shared" ca="1" si="44"/>
        <v>0.33291921487187948</v>
      </c>
      <c r="K83" s="41">
        <f t="shared" ca="1" si="44"/>
        <v>0.46320357470571671</v>
      </c>
      <c r="L83" s="41">
        <f t="shared" ca="1" si="44"/>
        <v>0.6</v>
      </c>
      <c r="M83" s="41">
        <f t="shared" ca="1" si="44"/>
        <v>0.6</v>
      </c>
      <c r="N83">
        <v>1</v>
      </c>
      <c r="Q83">
        <v>0</v>
      </c>
      <c r="R83">
        <v>0</v>
      </c>
      <c r="S83">
        <v>0</v>
      </c>
      <c r="T83">
        <v>24</v>
      </c>
      <c r="U83" s="37">
        <v>0</v>
      </c>
      <c r="V83" s="37">
        <v>0</v>
      </c>
      <c r="W83" s="30">
        <f t="shared" ca="1" si="20"/>
        <v>0</v>
      </c>
      <c r="X83" s="30">
        <f t="shared" ca="1" si="21"/>
        <v>0</v>
      </c>
      <c r="Y83" s="30">
        <f t="shared" ca="1" si="22"/>
        <v>0</v>
      </c>
      <c r="Z83" s="30">
        <f t="shared" ca="1" si="23"/>
        <v>0</v>
      </c>
      <c r="AA83" s="30">
        <f t="shared" ca="1" si="24"/>
        <v>0</v>
      </c>
      <c r="AB83" s="30">
        <f t="shared" ca="1" si="25"/>
        <v>0</v>
      </c>
      <c r="AC83" s="30">
        <f t="shared" ca="1" si="26"/>
        <v>0</v>
      </c>
    </row>
    <row r="84" spans="3:29" x14ac:dyDescent="0.25">
      <c r="C84">
        <v>2021</v>
      </c>
      <c r="D84">
        <f t="shared" si="18"/>
        <v>31</v>
      </c>
      <c r="E84">
        <v>0</v>
      </c>
      <c r="F84">
        <v>0</v>
      </c>
      <c r="G84" s="41">
        <f t="shared" ref="G84:M84" ca="1" si="45">+W36+W90</f>
        <v>0.24977148172540864</v>
      </c>
      <c r="H84" s="41">
        <f t="shared" ca="1" si="45"/>
        <v>0.27053224606161924</v>
      </c>
      <c r="I84" s="41">
        <f t="shared" ca="1" si="45"/>
        <v>0.29919726335825436</v>
      </c>
      <c r="J84" s="41">
        <f t="shared" ca="1" si="45"/>
        <v>0.3450592505595213</v>
      </c>
      <c r="K84" s="41">
        <f t="shared" ca="1" si="45"/>
        <v>0.46942159403727501</v>
      </c>
      <c r="L84" s="41">
        <f t="shared" ca="1" si="45"/>
        <v>0.6</v>
      </c>
      <c r="M84" s="41">
        <f t="shared" ca="1" si="45"/>
        <v>0.6</v>
      </c>
      <c r="N84">
        <v>1</v>
      </c>
      <c r="Q84">
        <v>0</v>
      </c>
      <c r="R84">
        <v>0</v>
      </c>
      <c r="S84">
        <v>0</v>
      </c>
      <c r="T84">
        <v>25</v>
      </c>
      <c r="U84" s="37">
        <v>0</v>
      </c>
      <c r="V84" s="37">
        <v>0</v>
      </c>
      <c r="W84" s="30">
        <f t="shared" ca="1" si="20"/>
        <v>0</v>
      </c>
      <c r="X84" s="30">
        <f t="shared" ca="1" si="21"/>
        <v>0</v>
      </c>
      <c r="Y84" s="30">
        <f t="shared" ca="1" si="22"/>
        <v>0</v>
      </c>
      <c r="Z84" s="30">
        <f t="shared" ca="1" si="23"/>
        <v>0</v>
      </c>
      <c r="AA84" s="30">
        <f t="shared" ca="1" si="24"/>
        <v>0</v>
      </c>
      <c r="AB84" s="30">
        <f t="shared" ca="1" si="25"/>
        <v>0</v>
      </c>
      <c r="AC84" s="30">
        <f t="shared" ca="1" si="26"/>
        <v>0</v>
      </c>
    </row>
    <row r="85" spans="3:29" x14ac:dyDescent="0.25">
      <c r="C85">
        <v>2021</v>
      </c>
      <c r="D85">
        <f t="shared" si="18"/>
        <v>32</v>
      </c>
      <c r="E85">
        <v>0</v>
      </c>
      <c r="F85">
        <v>0</v>
      </c>
      <c r="G85" s="41">
        <f t="shared" ref="G85:M85" ca="1" si="46">+W37+W91</f>
        <v>0.26644903021467492</v>
      </c>
      <c r="H85" s="41">
        <f t="shared" ca="1" si="46"/>
        <v>0.28622118672535168</v>
      </c>
      <c r="I85" s="41">
        <f t="shared" ca="1" si="46"/>
        <v>0.31352120319833748</v>
      </c>
      <c r="J85" s="41">
        <f t="shared" ca="1" si="46"/>
        <v>0.35719928624716313</v>
      </c>
      <c r="K85" s="41">
        <f t="shared" ca="1" si="46"/>
        <v>0.47563961336883331</v>
      </c>
      <c r="L85" s="41">
        <f t="shared" ca="1" si="46"/>
        <v>0.6</v>
      </c>
      <c r="M85" s="41">
        <f t="shared" ca="1" si="46"/>
        <v>0.6</v>
      </c>
      <c r="N85">
        <v>1</v>
      </c>
      <c r="Q85">
        <v>0</v>
      </c>
      <c r="R85">
        <v>0</v>
      </c>
      <c r="S85">
        <v>0</v>
      </c>
      <c r="T85">
        <v>26</v>
      </c>
      <c r="U85" s="37">
        <v>0</v>
      </c>
      <c r="V85" s="37">
        <v>0</v>
      </c>
      <c r="W85" s="30">
        <f t="shared" ca="1" si="20"/>
        <v>0</v>
      </c>
      <c r="X85" s="30">
        <f t="shared" ca="1" si="21"/>
        <v>0</v>
      </c>
      <c r="Y85" s="30">
        <f t="shared" ca="1" si="22"/>
        <v>0</v>
      </c>
      <c r="Z85" s="30">
        <f t="shared" ca="1" si="23"/>
        <v>0</v>
      </c>
      <c r="AA85" s="30">
        <f t="shared" ca="1" si="24"/>
        <v>0</v>
      </c>
      <c r="AB85" s="30">
        <f t="shared" ca="1" si="25"/>
        <v>0</v>
      </c>
      <c r="AC85" s="30">
        <f t="shared" ca="1" si="26"/>
        <v>0</v>
      </c>
    </row>
    <row r="86" spans="3:29" x14ac:dyDescent="0.25">
      <c r="C86">
        <v>2021</v>
      </c>
      <c r="D86">
        <f t="shared" si="18"/>
        <v>33</v>
      </c>
      <c r="E86">
        <v>0</v>
      </c>
      <c r="F86">
        <v>0</v>
      </c>
      <c r="G86" s="41">
        <f t="shared" ref="G86:M86" ca="1" si="47">+W38+W92</f>
        <v>0.2831265787039412</v>
      </c>
      <c r="H86" s="41">
        <f t="shared" ca="1" si="47"/>
        <v>0.30191012738908407</v>
      </c>
      <c r="I86" s="41">
        <f t="shared" ca="1" si="47"/>
        <v>0.32784514303842061</v>
      </c>
      <c r="J86" s="41">
        <f t="shared" ca="1" si="47"/>
        <v>0.36933932193480501</v>
      </c>
      <c r="K86" s="41">
        <f t="shared" ca="1" si="47"/>
        <v>0.48185763270039167</v>
      </c>
      <c r="L86" s="41">
        <f t="shared" ca="1" si="47"/>
        <v>0.6</v>
      </c>
      <c r="M86" s="41">
        <f t="shared" ca="1" si="47"/>
        <v>0.6</v>
      </c>
      <c r="N86">
        <v>1</v>
      </c>
      <c r="Q86">
        <f>1/26</f>
        <v>3.8461538461538464E-2</v>
      </c>
      <c r="R86">
        <f t="shared" ref="R86:S111" si="48">1/26</f>
        <v>3.8461538461538464E-2</v>
      </c>
      <c r="S86">
        <f t="shared" si="48"/>
        <v>3.8461538461538464E-2</v>
      </c>
      <c r="T86">
        <v>27</v>
      </c>
      <c r="U86" s="37">
        <v>0</v>
      </c>
      <c r="V86" s="37">
        <v>0</v>
      </c>
      <c r="W86" s="30">
        <f t="shared" ca="1" si="20"/>
        <v>1.6677548489266263E-2</v>
      </c>
      <c r="X86" s="30">
        <f t="shared" ca="1" si="21"/>
        <v>1.5688940663732418E-2</v>
      </c>
      <c r="Y86" s="30">
        <f t="shared" ca="1" si="22"/>
        <v>1.4323939840083125E-2</v>
      </c>
      <c r="Z86" s="30">
        <f t="shared" ca="1" si="23"/>
        <v>1.2140035687641836E-2</v>
      </c>
      <c r="AA86" s="30">
        <f t="shared" ca="1" si="24"/>
        <v>6.2180193315583216E-3</v>
      </c>
      <c r="AB86" s="30">
        <f t="shared" ca="1" si="25"/>
        <v>0</v>
      </c>
      <c r="AC86" s="30">
        <f t="shared" ca="1" si="26"/>
        <v>0</v>
      </c>
    </row>
    <row r="87" spans="3:29" x14ac:dyDescent="0.25">
      <c r="C87">
        <v>2021</v>
      </c>
      <c r="D87">
        <f t="shared" si="18"/>
        <v>34</v>
      </c>
      <c r="E87">
        <v>0</v>
      </c>
      <c r="F87">
        <v>0</v>
      </c>
      <c r="G87" s="41">
        <f t="shared" ref="G87:M87" ca="1" si="49">+W39+W93</f>
        <v>0.29980412719320743</v>
      </c>
      <c r="H87" s="41">
        <f t="shared" ca="1" si="49"/>
        <v>0.31759906805281651</v>
      </c>
      <c r="I87" s="41">
        <f t="shared" ca="1" si="49"/>
        <v>0.34216908287850373</v>
      </c>
      <c r="J87" s="41">
        <f t="shared" ca="1" si="49"/>
        <v>0.38147935762244684</v>
      </c>
      <c r="K87" s="41">
        <f t="shared" ca="1" si="49"/>
        <v>0.48807565203194997</v>
      </c>
      <c r="L87" s="41">
        <f t="shared" ca="1" si="49"/>
        <v>0.6</v>
      </c>
      <c r="M87" s="41">
        <f t="shared" ca="1" si="49"/>
        <v>0.6</v>
      </c>
      <c r="N87">
        <v>1</v>
      </c>
      <c r="Q87">
        <f t="shared" ref="Q87:Q111" si="50">1/26</f>
        <v>3.8461538461538464E-2</v>
      </c>
      <c r="R87">
        <f t="shared" si="48"/>
        <v>3.8461538461538464E-2</v>
      </c>
      <c r="S87">
        <f t="shared" si="48"/>
        <v>3.8461538461538464E-2</v>
      </c>
      <c r="T87">
        <v>28</v>
      </c>
      <c r="U87" s="37">
        <v>0</v>
      </c>
      <c r="V87" s="37">
        <v>0</v>
      </c>
      <c r="W87" s="30">
        <f t="shared" ca="1" si="20"/>
        <v>3.3355096978532527E-2</v>
      </c>
      <c r="X87" s="30">
        <f t="shared" ca="1" si="21"/>
        <v>3.1377881327464836E-2</v>
      </c>
      <c r="Y87" s="30">
        <f t="shared" ca="1" si="22"/>
        <v>2.8647879680166251E-2</v>
      </c>
      <c r="Z87" s="30">
        <f t="shared" ca="1" si="23"/>
        <v>2.4280071375283672E-2</v>
      </c>
      <c r="AA87" s="30">
        <f t="shared" ca="1" si="24"/>
        <v>1.2436038663116643E-2</v>
      </c>
      <c r="AB87" s="30">
        <f t="shared" ca="1" si="25"/>
        <v>0</v>
      </c>
      <c r="AC87" s="30">
        <f t="shared" ca="1" si="26"/>
        <v>0</v>
      </c>
    </row>
    <row r="88" spans="3:29" x14ac:dyDescent="0.25">
      <c r="C88">
        <v>2021</v>
      </c>
      <c r="D88">
        <f t="shared" si="18"/>
        <v>35</v>
      </c>
      <c r="E88">
        <v>0</v>
      </c>
      <c r="F88">
        <v>0</v>
      </c>
      <c r="G88" s="41">
        <f t="shared" ref="G88:M88" ca="1" si="51">+W40+W94</f>
        <v>0.31648167568247365</v>
      </c>
      <c r="H88" s="41">
        <f t="shared" ca="1" si="51"/>
        <v>0.33328800871654896</v>
      </c>
      <c r="I88" s="41">
        <f t="shared" ca="1" si="51"/>
        <v>0.35649302271858685</v>
      </c>
      <c r="J88" s="41">
        <f t="shared" ca="1" si="51"/>
        <v>0.39361939331008866</v>
      </c>
      <c r="K88" s="41">
        <f t="shared" ca="1" si="51"/>
        <v>0.49429367136350832</v>
      </c>
      <c r="L88" s="41">
        <f t="shared" ca="1" si="51"/>
        <v>0.6</v>
      </c>
      <c r="M88" s="41">
        <f t="shared" ca="1" si="51"/>
        <v>0.6</v>
      </c>
      <c r="N88">
        <v>1</v>
      </c>
      <c r="Q88">
        <f t="shared" si="50"/>
        <v>3.8461538461538464E-2</v>
      </c>
      <c r="R88">
        <f t="shared" si="48"/>
        <v>3.8461538461538464E-2</v>
      </c>
      <c r="S88">
        <f t="shared" si="48"/>
        <v>3.8461538461538464E-2</v>
      </c>
      <c r="T88">
        <v>29</v>
      </c>
      <c r="U88" s="37">
        <v>0</v>
      </c>
      <c r="V88" s="37">
        <v>0</v>
      </c>
      <c r="W88" s="30">
        <f t="shared" ca="1" si="20"/>
        <v>5.0032645467798786E-2</v>
      </c>
      <c r="X88" s="30">
        <f t="shared" ca="1" si="21"/>
        <v>4.7066821991197258E-2</v>
      </c>
      <c r="Y88" s="30">
        <f t="shared" ca="1" si="22"/>
        <v>4.297181952024938E-2</v>
      </c>
      <c r="Z88" s="30">
        <f t="shared" ca="1" si="23"/>
        <v>3.6420107062925505E-2</v>
      </c>
      <c r="AA88" s="30">
        <f t="shared" ca="1" si="24"/>
        <v>1.8654057994674966E-2</v>
      </c>
      <c r="AB88" s="30">
        <f t="shared" ca="1" si="25"/>
        <v>0</v>
      </c>
      <c r="AC88" s="30">
        <f t="shared" ca="1" si="26"/>
        <v>0</v>
      </c>
    </row>
    <row r="89" spans="3:29" x14ac:dyDescent="0.25">
      <c r="C89">
        <v>2021</v>
      </c>
      <c r="D89">
        <f t="shared" si="18"/>
        <v>36</v>
      </c>
      <c r="E89">
        <v>0</v>
      </c>
      <c r="F89">
        <v>0</v>
      </c>
      <c r="G89" s="41">
        <f t="shared" ref="G89:M89" ca="1" si="52">+W41+W95</f>
        <v>0.33315922417173993</v>
      </c>
      <c r="H89" s="41">
        <f t="shared" ca="1" si="52"/>
        <v>0.34897694938028134</v>
      </c>
      <c r="I89" s="41">
        <f t="shared" ca="1" si="52"/>
        <v>0.37081696255866997</v>
      </c>
      <c r="J89" s="41">
        <f t="shared" ca="1" si="52"/>
        <v>0.40575942899773049</v>
      </c>
      <c r="K89" s="41">
        <f t="shared" ca="1" si="52"/>
        <v>0.50051169069506662</v>
      </c>
      <c r="L89" s="41">
        <f t="shared" ca="1" si="52"/>
        <v>0.6</v>
      </c>
      <c r="M89" s="41">
        <f t="shared" ca="1" si="52"/>
        <v>0.6</v>
      </c>
      <c r="N89">
        <v>1</v>
      </c>
      <c r="Q89">
        <f t="shared" si="50"/>
        <v>3.8461538461538464E-2</v>
      </c>
      <c r="R89">
        <f t="shared" si="48"/>
        <v>3.8461538461538464E-2</v>
      </c>
      <c r="S89">
        <f t="shared" si="48"/>
        <v>3.8461538461538464E-2</v>
      </c>
      <c r="T89">
        <v>30</v>
      </c>
      <c r="U89" s="37">
        <v>0</v>
      </c>
      <c r="V89" s="37">
        <v>0</v>
      </c>
      <c r="W89" s="30">
        <f t="shared" ca="1" si="20"/>
        <v>6.6710193957065053E-2</v>
      </c>
      <c r="X89" s="30">
        <f t="shared" ca="1" si="21"/>
        <v>6.2755762654929673E-2</v>
      </c>
      <c r="Y89" s="30">
        <f t="shared" ca="1" si="22"/>
        <v>5.7295759360332502E-2</v>
      </c>
      <c r="Z89" s="30">
        <f t="shared" ca="1" si="23"/>
        <v>4.8560142750567345E-2</v>
      </c>
      <c r="AA89" s="30">
        <f t="shared" ca="1" si="24"/>
        <v>2.4872077326233286E-2</v>
      </c>
      <c r="AB89" s="30">
        <f t="shared" ca="1" si="25"/>
        <v>0</v>
      </c>
      <c r="AC89" s="30">
        <f t="shared" ca="1" si="26"/>
        <v>0</v>
      </c>
    </row>
    <row r="90" spans="3:29" x14ac:dyDescent="0.25">
      <c r="C90">
        <v>2021</v>
      </c>
      <c r="D90">
        <f t="shared" si="18"/>
        <v>37</v>
      </c>
      <c r="E90">
        <v>0</v>
      </c>
      <c r="F90">
        <v>0</v>
      </c>
      <c r="G90" s="41">
        <f t="shared" ref="G90:M90" ca="1" si="53">+W42+W96</f>
        <v>0.34983677266100621</v>
      </c>
      <c r="H90" s="41">
        <f t="shared" ca="1" si="53"/>
        <v>0.36466589004401373</v>
      </c>
      <c r="I90" s="41">
        <f t="shared" ca="1" si="53"/>
        <v>0.38514090239875309</v>
      </c>
      <c r="J90" s="41">
        <f t="shared" ca="1" si="53"/>
        <v>0.41789946468537231</v>
      </c>
      <c r="K90" s="41">
        <f t="shared" ca="1" si="53"/>
        <v>0.50672971002662492</v>
      </c>
      <c r="L90" s="41">
        <f t="shared" ca="1" si="53"/>
        <v>0.6</v>
      </c>
      <c r="M90" s="41">
        <f t="shared" ca="1" si="53"/>
        <v>0.6</v>
      </c>
      <c r="N90">
        <v>1</v>
      </c>
      <c r="Q90">
        <f t="shared" si="50"/>
        <v>3.8461538461538464E-2</v>
      </c>
      <c r="R90">
        <f t="shared" si="48"/>
        <v>3.8461538461538464E-2</v>
      </c>
      <c r="S90">
        <f t="shared" si="48"/>
        <v>3.8461538461538464E-2</v>
      </c>
      <c r="T90">
        <v>31</v>
      </c>
      <c r="U90" s="37">
        <v>0</v>
      </c>
      <c r="V90" s="37">
        <v>0</v>
      </c>
      <c r="W90" s="30">
        <f t="shared" ca="1" si="20"/>
        <v>8.338774244633132E-2</v>
      </c>
      <c r="X90" s="30">
        <f t="shared" ca="1" si="21"/>
        <v>7.8444703318662087E-2</v>
      </c>
      <c r="Y90" s="30">
        <f t="shared" ca="1" si="22"/>
        <v>7.1619699200415624E-2</v>
      </c>
      <c r="Z90" s="30">
        <f t="shared" ca="1" si="23"/>
        <v>6.0700178438209185E-2</v>
      </c>
      <c r="AA90" s="30">
        <f t="shared" ca="1" si="24"/>
        <v>3.1090096657791607E-2</v>
      </c>
      <c r="AB90" s="30">
        <f t="shared" ca="1" si="25"/>
        <v>0</v>
      </c>
      <c r="AC90" s="30">
        <f t="shared" ca="1" si="26"/>
        <v>0</v>
      </c>
    </row>
    <row r="91" spans="3:29" x14ac:dyDescent="0.25">
      <c r="C91">
        <v>2021</v>
      </c>
      <c r="D91">
        <f t="shared" si="18"/>
        <v>38</v>
      </c>
      <c r="E91">
        <v>0</v>
      </c>
      <c r="F91">
        <v>0</v>
      </c>
      <c r="G91" s="41">
        <f t="shared" ref="G91:M91" ca="1" si="54">+W43+W97</f>
        <v>0.36651432115027244</v>
      </c>
      <c r="H91" s="41">
        <f t="shared" ca="1" si="54"/>
        <v>0.38035483070774617</v>
      </c>
      <c r="I91" s="41">
        <f t="shared" ca="1" si="54"/>
        <v>0.39946484223883622</v>
      </c>
      <c r="J91" s="41">
        <f t="shared" ca="1" si="54"/>
        <v>0.43003950037301419</v>
      </c>
      <c r="K91" s="41">
        <f t="shared" ca="1" si="54"/>
        <v>0.51294772935818322</v>
      </c>
      <c r="L91" s="41">
        <f t="shared" ca="1" si="54"/>
        <v>0.6</v>
      </c>
      <c r="M91" s="41">
        <f t="shared" ca="1" si="54"/>
        <v>0.6</v>
      </c>
      <c r="N91">
        <v>1</v>
      </c>
      <c r="Q91">
        <f t="shared" si="50"/>
        <v>3.8461538461538464E-2</v>
      </c>
      <c r="R91">
        <f t="shared" si="48"/>
        <v>3.8461538461538464E-2</v>
      </c>
      <c r="S91">
        <f t="shared" si="48"/>
        <v>3.8461538461538464E-2</v>
      </c>
      <c r="T91">
        <v>32</v>
      </c>
      <c r="U91" s="37">
        <v>0</v>
      </c>
      <c r="V91" s="37">
        <v>0</v>
      </c>
      <c r="W91" s="30">
        <f t="shared" ca="1" si="20"/>
        <v>0.10006529093559759</v>
      </c>
      <c r="X91" s="30">
        <f t="shared" ca="1" si="21"/>
        <v>9.4133643982394502E-2</v>
      </c>
      <c r="Y91" s="30">
        <f t="shared" ca="1" si="22"/>
        <v>8.5943639040498745E-2</v>
      </c>
      <c r="Z91" s="30">
        <f t="shared" ca="1" si="23"/>
        <v>7.2840214125851024E-2</v>
      </c>
      <c r="AA91" s="30">
        <f t="shared" ca="1" si="24"/>
        <v>3.7308115989349931E-2</v>
      </c>
      <c r="AB91" s="30">
        <f t="shared" ca="1" si="25"/>
        <v>0</v>
      </c>
      <c r="AC91" s="30">
        <f t="shared" ca="1" si="26"/>
        <v>0</v>
      </c>
    </row>
    <row r="92" spans="3:29" x14ac:dyDescent="0.25">
      <c r="C92">
        <v>2021</v>
      </c>
      <c r="D92">
        <f t="shared" si="18"/>
        <v>39</v>
      </c>
      <c r="E92">
        <v>0</v>
      </c>
      <c r="F92">
        <v>0</v>
      </c>
      <c r="G92" s="41">
        <f t="shared" ref="G92:M92" ca="1" si="55">+W44+W98</f>
        <v>0.38319186963953866</v>
      </c>
      <c r="H92" s="41">
        <f t="shared" ca="1" si="55"/>
        <v>0.39604377137147861</v>
      </c>
      <c r="I92" s="41">
        <f t="shared" ca="1" si="55"/>
        <v>0.41378878207891934</v>
      </c>
      <c r="J92" s="41">
        <f t="shared" ca="1" si="55"/>
        <v>0.44217953606065596</v>
      </c>
      <c r="K92" s="41">
        <f t="shared" ca="1" si="55"/>
        <v>0.51916574868974164</v>
      </c>
      <c r="L92" s="41">
        <f t="shared" ca="1" si="55"/>
        <v>0.6</v>
      </c>
      <c r="M92" s="41">
        <f t="shared" ca="1" si="55"/>
        <v>0.6</v>
      </c>
      <c r="N92">
        <v>1</v>
      </c>
      <c r="Q92">
        <f t="shared" si="50"/>
        <v>3.8461538461538464E-2</v>
      </c>
      <c r="R92">
        <f t="shared" si="48"/>
        <v>3.8461538461538464E-2</v>
      </c>
      <c r="S92">
        <f t="shared" si="48"/>
        <v>3.8461538461538464E-2</v>
      </c>
      <c r="T92">
        <v>33</v>
      </c>
      <c r="U92" s="37">
        <v>0</v>
      </c>
      <c r="V92" s="37">
        <v>0</v>
      </c>
      <c r="W92" s="30">
        <f t="shared" ref="W92:W111" ca="1" si="56">W$2*$Q92*$Q$58+W$3*$R92*$R$58+W$4*$S92*$S$58+W91</f>
        <v>0.11674283942486385</v>
      </c>
      <c r="X92" s="30">
        <f t="shared" ref="X92:X111" ca="1" si="57">X$2*$Q92*$Q$58+X$3*$R92*$R$58+X$4*$S92*$S$58+X91</f>
        <v>0.10982258464612692</v>
      </c>
      <c r="Y92" s="30">
        <f t="shared" ref="Y92:Y111" ca="1" si="58">Y$2*$Q92*$Q$58+Y$3*$R92*$R$58+Y$4*$S92*$S$58+Y91</f>
        <v>0.10026757888058187</v>
      </c>
      <c r="Z92" s="30">
        <f t="shared" ref="Z92:Z111" ca="1" si="59">Z$2*$Q92*$Q$58+Z$3*$R92*$R$58+Z$4*$S92*$S$58+Z91</f>
        <v>8.4980249813492864E-2</v>
      </c>
      <c r="AA92" s="30">
        <f t="shared" ref="AA92:AA111" ca="1" si="60">AA$2*$Q92*$Q$58+AA$3*$R92*$R$58+AA$4*$S92*$S$58+AA91</f>
        <v>4.3526135320908252E-2</v>
      </c>
      <c r="AB92" s="30">
        <f t="shared" ref="AB92:AB111" ca="1" si="61">AB$2*$Q92*$Q$58+AB$3*$R92*$R$58+AB$4*$S92*$S$58+AB91</f>
        <v>0</v>
      </c>
      <c r="AC92" s="30">
        <f t="shared" ref="AC92:AC111" ca="1" si="62">AC$2*$Q92*$Q$58+AC$3*$R92*$R$58+AC$4*$S92*$S$58+AC91</f>
        <v>0</v>
      </c>
    </row>
    <row r="93" spans="3:29" x14ac:dyDescent="0.25">
      <c r="C93">
        <v>2021</v>
      </c>
      <c r="D93">
        <f t="shared" si="18"/>
        <v>40</v>
      </c>
      <c r="E93">
        <v>0</v>
      </c>
      <c r="F93">
        <v>0</v>
      </c>
      <c r="G93" s="41">
        <f t="shared" ref="G93:M93" ca="1" si="63">+W45+W99</f>
        <v>0.39986941812880494</v>
      </c>
      <c r="H93" s="41">
        <f t="shared" ca="1" si="63"/>
        <v>0.411732712035211</v>
      </c>
      <c r="I93" s="41">
        <f t="shared" ca="1" si="63"/>
        <v>0.42811272191900246</v>
      </c>
      <c r="J93" s="41">
        <f t="shared" ca="1" si="63"/>
        <v>0.45431957174829785</v>
      </c>
      <c r="K93" s="41">
        <f t="shared" ca="1" si="63"/>
        <v>0.52538376802129994</v>
      </c>
      <c r="L93" s="41">
        <f t="shared" ca="1" si="63"/>
        <v>0.6</v>
      </c>
      <c r="M93" s="41">
        <f t="shared" ca="1" si="63"/>
        <v>0.6</v>
      </c>
      <c r="N93">
        <v>1</v>
      </c>
      <c r="Q93">
        <f t="shared" si="50"/>
        <v>3.8461538461538464E-2</v>
      </c>
      <c r="R93">
        <f t="shared" si="48"/>
        <v>3.8461538461538464E-2</v>
      </c>
      <c r="S93">
        <f t="shared" si="48"/>
        <v>3.8461538461538464E-2</v>
      </c>
      <c r="T93">
        <v>34</v>
      </c>
      <c r="U93" s="37">
        <v>0</v>
      </c>
      <c r="V93" s="37">
        <v>0</v>
      </c>
      <c r="W93" s="30">
        <f t="shared" ca="1" si="56"/>
        <v>0.13342038791413011</v>
      </c>
      <c r="X93" s="30">
        <f t="shared" ca="1" si="57"/>
        <v>0.12551152530985935</v>
      </c>
      <c r="Y93" s="30">
        <f t="shared" ca="1" si="58"/>
        <v>0.11459151872066499</v>
      </c>
      <c r="Z93" s="30">
        <f t="shared" ca="1" si="59"/>
        <v>9.7120285501134704E-2</v>
      </c>
      <c r="AA93" s="30">
        <f t="shared" ca="1" si="60"/>
        <v>4.9744154652466573E-2</v>
      </c>
      <c r="AB93" s="30">
        <f t="shared" ca="1" si="61"/>
        <v>0</v>
      </c>
      <c r="AC93" s="30">
        <f t="shared" ca="1" si="62"/>
        <v>0</v>
      </c>
    </row>
    <row r="94" spans="3:29" x14ac:dyDescent="0.25">
      <c r="C94">
        <v>2021</v>
      </c>
      <c r="D94">
        <f t="shared" si="18"/>
        <v>41</v>
      </c>
      <c r="E94">
        <v>0</v>
      </c>
      <c r="F94">
        <v>0</v>
      </c>
      <c r="G94" s="41">
        <f t="shared" ref="G94:G105" ca="1" si="64">+W46+W100</f>
        <v>0.41654696661807122</v>
      </c>
      <c r="H94" s="41">
        <f t="shared" ref="H94:H105" ca="1" si="65">+X46+X100</f>
        <v>0.42742165269894339</v>
      </c>
      <c r="I94" s="41">
        <f t="shared" ref="I94:I105" ca="1" si="66">+Y46+Y100</f>
        <v>0.44243666175908558</v>
      </c>
      <c r="J94" s="41">
        <f t="shared" ref="J94:J105" ca="1" si="67">+Z46+Z100</f>
        <v>0.46645960743593962</v>
      </c>
      <c r="K94" s="41">
        <f t="shared" ref="K94:K105" ca="1" si="68">+AA46+AA100</f>
        <v>0.53160178735285823</v>
      </c>
      <c r="L94" s="41">
        <f t="shared" ref="L94:L105" ca="1" si="69">+AB46+AB100</f>
        <v>0.6</v>
      </c>
      <c r="M94" s="41">
        <f t="shared" ref="M94:M105" ca="1" si="70">+AC46+AC100</f>
        <v>0.6</v>
      </c>
      <c r="N94">
        <v>1</v>
      </c>
      <c r="Q94">
        <f t="shared" si="50"/>
        <v>3.8461538461538464E-2</v>
      </c>
      <c r="R94">
        <f t="shared" si="48"/>
        <v>3.8461538461538464E-2</v>
      </c>
      <c r="S94">
        <f t="shared" si="48"/>
        <v>3.8461538461538464E-2</v>
      </c>
      <c r="T94">
        <v>35</v>
      </c>
      <c r="U94" s="37">
        <v>0</v>
      </c>
      <c r="V94" s="37">
        <v>0</v>
      </c>
      <c r="W94" s="30">
        <f t="shared" ca="1" si="56"/>
        <v>0.15009793640339636</v>
      </c>
      <c r="X94" s="30">
        <f t="shared" ca="1" si="57"/>
        <v>0.14120046597359176</v>
      </c>
      <c r="Y94" s="30">
        <f t="shared" ca="1" si="58"/>
        <v>0.12891545856074813</v>
      </c>
      <c r="Z94" s="30">
        <f t="shared" ca="1" si="59"/>
        <v>0.10926032118877654</v>
      </c>
      <c r="AA94" s="30">
        <f t="shared" ca="1" si="60"/>
        <v>5.5962173984024893E-2</v>
      </c>
      <c r="AB94" s="30">
        <f t="shared" ca="1" si="61"/>
        <v>0</v>
      </c>
      <c r="AC94" s="30">
        <f t="shared" ca="1" si="62"/>
        <v>0</v>
      </c>
    </row>
    <row r="95" spans="3:29" x14ac:dyDescent="0.25">
      <c r="C95">
        <v>2021</v>
      </c>
      <c r="D95">
        <f t="shared" si="18"/>
        <v>42</v>
      </c>
      <c r="E95">
        <v>0</v>
      </c>
      <c r="F95">
        <v>0</v>
      </c>
      <c r="G95" s="41">
        <f t="shared" ca="1" si="64"/>
        <v>0.4332245151073375</v>
      </c>
      <c r="H95" s="41">
        <f t="shared" ca="1" si="65"/>
        <v>0.44311059336267589</v>
      </c>
      <c r="I95" s="41">
        <f t="shared" ca="1" si="66"/>
        <v>0.4567606015991687</v>
      </c>
      <c r="J95" s="41">
        <f t="shared" ca="1" si="67"/>
        <v>0.4785996431235815</v>
      </c>
      <c r="K95" s="41">
        <f t="shared" ca="1" si="68"/>
        <v>0.53781980668441653</v>
      </c>
      <c r="L95" s="41">
        <f t="shared" ca="1" si="69"/>
        <v>0.6</v>
      </c>
      <c r="M95" s="41">
        <f t="shared" ca="1" si="70"/>
        <v>0.6</v>
      </c>
      <c r="N95">
        <v>1</v>
      </c>
      <c r="Q95">
        <f t="shared" si="50"/>
        <v>3.8461538461538464E-2</v>
      </c>
      <c r="R95">
        <f t="shared" si="48"/>
        <v>3.8461538461538464E-2</v>
      </c>
      <c r="S95">
        <f t="shared" si="48"/>
        <v>3.8461538461538464E-2</v>
      </c>
      <c r="T95">
        <v>36</v>
      </c>
      <c r="U95" s="37">
        <v>0</v>
      </c>
      <c r="V95" s="37">
        <v>0</v>
      </c>
      <c r="W95" s="30">
        <f t="shared" ca="1" si="56"/>
        <v>0.16677548489266261</v>
      </c>
      <c r="X95" s="30">
        <f t="shared" ca="1" si="57"/>
        <v>0.15688940663732417</v>
      </c>
      <c r="Y95" s="30">
        <f t="shared" ca="1" si="58"/>
        <v>0.14323939840083125</v>
      </c>
      <c r="Z95" s="30">
        <f t="shared" ca="1" si="59"/>
        <v>0.12140035687641838</v>
      </c>
      <c r="AA95" s="30">
        <f t="shared" ca="1" si="60"/>
        <v>6.2180193315583214E-2</v>
      </c>
      <c r="AB95" s="30">
        <f t="shared" ca="1" si="61"/>
        <v>0</v>
      </c>
      <c r="AC95" s="30">
        <f t="shared" ca="1" si="62"/>
        <v>0</v>
      </c>
    </row>
    <row r="96" spans="3:29" x14ac:dyDescent="0.25">
      <c r="C96">
        <v>2021</v>
      </c>
      <c r="D96">
        <f t="shared" si="18"/>
        <v>43</v>
      </c>
      <c r="E96">
        <v>0</v>
      </c>
      <c r="F96">
        <v>0</v>
      </c>
      <c r="G96" s="41">
        <f t="shared" ca="1" si="64"/>
        <v>0.44990206359660379</v>
      </c>
      <c r="H96" s="41">
        <f t="shared" ca="1" si="65"/>
        <v>0.45879953402640827</v>
      </c>
      <c r="I96" s="41">
        <f t="shared" ca="1" si="66"/>
        <v>0.47108454143925182</v>
      </c>
      <c r="J96" s="41">
        <f t="shared" ca="1" si="67"/>
        <v>0.49073967881122327</v>
      </c>
      <c r="K96" s="41">
        <f t="shared" ca="1" si="68"/>
        <v>0.54403782601597495</v>
      </c>
      <c r="L96" s="41">
        <f t="shared" ca="1" si="69"/>
        <v>0.6</v>
      </c>
      <c r="M96" s="41">
        <f t="shared" ca="1" si="70"/>
        <v>0.6</v>
      </c>
      <c r="N96">
        <v>1</v>
      </c>
      <c r="Q96">
        <f t="shared" si="50"/>
        <v>3.8461538461538464E-2</v>
      </c>
      <c r="R96">
        <f t="shared" si="48"/>
        <v>3.8461538461538464E-2</v>
      </c>
      <c r="S96">
        <f t="shared" si="48"/>
        <v>3.8461538461538464E-2</v>
      </c>
      <c r="T96">
        <v>37</v>
      </c>
      <c r="U96" s="37">
        <v>0</v>
      </c>
      <c r="V96" s="37">
        <v>0</v>
      </c>
      <c r="W96" s="30">
        <f t="shared" ca="1" si="56"/>
        <v>0.18345303338192886</v>
      </c>
      <c r="X96" s="30">
        <f t="shared" ca="1" si="57"/>
        <v>0.17257834730105659</v>
      </c>
      <c r="Y96" s="30">
        <f t="shared" ca="1" si="58"/>
        <v>0.15756333824091437</v>
      </c>
      <c r="Z96" s="30">
        <f t="shared" ca="1" si="59"/>
        <v>0.13354039256406022</v>
      </c>
      <c r="AA96" s="30">
        <f t="shared" ca="1" si="60"/>
        <v>6.8398212647141535E-2</v>
      </c>
      <c r="AB96" s="30">
        <f t="shared" ca="1" si="61"/>
        <v>0</v>
      </c>
      <c r="AC96" s="30">
        <f t="shared" ca="1" si="62"/>
        <v>0</v>
      </c>
    </row>
    <row r="97" spans="3:29" x14ac:dyDescent="0.25">
      <c r="C97">
        <v>2021</v>
      </c>
      <c r="D97">
        <f t="shared" si="18"/>
        <v>44</v>
      </c>
      <c r="E97">
        <v>0</v>
      </c>
      <c r="F97">
        <v>0</v>
      </c>
      <c r="G97" s="41">
        <f t="shared" ca="1" si="64"/>
        <v>0.46657961208587007</v>
      </c>
      <c r="H97" s="41">
        <f t="shared" ca="1" si="65"/>
        <v>0.47448847469014077</v>
      </c>
      <c r="I97" s="41">
        <f t="shared" ca="1" si="66"/>
        <v>0.485408481279335</v>
      </c>
      <c r="J97" s="41">
        <f t="shared" ca="1" si="67"/>
        <v>0.50287971449886515</v>
      </c>
      <c r="K97" s="41">
        <f t="shared" ca="1" si="68"/>
        <v>0.55025584534753325</v>
      </c>
      <c r="L97" s="41">
        <f t="shared" ca="1" si="69"/>
        <v>0.6</v>
      </c>
      <c r="M97" s="41">
        <f t="shared" ca="1" si="70"/>
        <v>0.6</v>
      </c>
      <c r="N97">
        <v>1</v>
      </c>
      <c r="Q97">
        <f t="shared" si="50"/>
        <v>3.8461538461538464E-2</v>
      </c>
      <c r="R97">
        <f t="shared" si="48"/>
        <v>3.8461538461538464E-2</v>
      </c>
      <c r="S97">
        <f t="shared" si="48"/>
        <v>3.8461538461538464E-2</v>
      </c>
      <c r="T97">
        <v>38</v>
      </c>
      <c r="U97" s="37">
        <v>0</v>
      </c>
      <c r="V97" s="37">
        <v>0</v>
      </c>
      <c r="W97" s="30">
        <f t="shared" ca="1" si="56"/>
        <v>0.20013058187119512</v>
      </c>
      <c r="X97" s="30">
        <f t="shared" ca="1" si="57"/>
        <v>0.188267287964789</v>
      </c>
      <c r="Y97" s="30">
        <f t="shared" ca="1" si="58"/>
        <v>0.17188727808099749</v>
      </c>
      <c r="Z97" s="30">
        <f t="shared" ca="1" si="59"/>
        <v>0.14568042825170205</v>
      </c>
      <c r="AA97" s="30">
        <f t="shared" ca="1" si="60"/>
        <v>7.4616231978699862E-2</v>
      </c>
      <c r="AB97" s="30">
        <f t="shared" ca="1" si="61"/>
        <v>0</v>
      </c>
      <c r="AC97" s="30">
        <f t="shared" ca="1" si="62"/>
        <v>0</v>
      </c>
    </row>
    <row r="98" spans="3:29" x14ac:dyDescent="0.25">
      <c r="C98">
        <v>2021</v>
      </c>
      <c r="D98">
        <f t="shared" si="18"/>
        <v>45</v>
      </c>
      <c r="E98">
        <v>0</v>
      </c>
      <c r="F98">
        <v>0</v>
      </c>
      <c r="G98" s="41">
        <f t="shared" ca="1" si="64"/>
        <v>0.48325716057513635</v>
      </c>
      <c r="H98" s="41">
        <f t="shared" ca="1" si="65"/>
        <v>0.49017741535387316</v>
      </c>
      <c r="I98" s="41">
        <f t="shared" ca="1" si="66"/>
        <v>0.49973242111941807</v>
      </c>
      <c r="J98" s="41">
        <f t="shared" ca="1" si="67"/>
        <v>0.51501975018650692</v>
      </c>
      <c r="K98" s="41">
        <f t="shared" ca="1" si="68"/>
        <v>0.55647386467909155</v>
      </c>
      <c r="L98" s="41">
        <f t="shared" ca="1" si="69"/>
        <v>0.6</v>
      </c>
      <c r="M98" s="41">
        <f t="shared" ca="1" si="70"/>
        <v>0.6</v>
      </c>
      <c r="N98">
        <v>1</v>
      </c>
      <c r="Q98">
        <f t="shared" si="50"/>
        <v>3.8461538461538464E-2</v>
      </c>
      <c r="R98">
        <f t="shared" si="48"/>
        <v>3.8461538461538464E-2</v>
      </c>
      <c r="S98">
        <f t="shared" si="48"/>
        <v>3.8461538461538464E-2</v>
      </c>
      <c r="T98">
        <v>39</v>
      </c>
      <c r="U98" s="37">
        <v>0</v>
      </c>
      <c r="V98" s="37">
        <v>0</v>
      </c>
      <c r="W98" s="30">
        <f t="shared" ca="1" si="56"/>
        <v>0.21680813036046137</v>
      </c>
      <c r="X98" s="30">
        <f t="shared" ca="1" si="57"/>
        <v>0.20395622862852142</v>
      </c>
      <c r="Y98" s="30">
        <f t="shared" ca="1" si="58"/>
        <v>0.18621121792108061</v>
      </c>
      <c r="Z98" s="30">
        <f t="shared" ca="1" si="59"/>
        <v>0.15782046393934387</v>
      </c>
      <c r="AA98" s="30">
        <f t="shared" ca="1" si="60"/>
        <v>8.083425131025819E-2</v>
      </c>
      <c r="AB98" s="30">
        <f t="shared" ca="1" si="61"/>
        <v>0</v>
      </c>
      <c r="AC98" s="30">
        <f t="shared" ca="1" si="62"/>
        <v>0</v>
      </c>
    </row>
    <row r="99" spans="3:29" x14ac:dyDescent="0.25">
      <c r="C99">
        <v>2021</v>
      </c>
      <c r="D99">
        <f t="shared" si="18"/>
        <v>46</v>
      </c>
      <c r="E99">
        <v>0</v>
      </c>
      <c r="F99">
        <v>0</v>
      </c>
      <c r="G99" s="41">
        <f t="shared" ca="1" si="64"/>
        <v>0.49993470906440263</v>
      </c>
      <c r="H99" s="41">
        <f t="shared" ca="1" si="65"/>
        <v>0.50586635601760566</v>
      </c>
      <c r="I99" s="41">
        <f t="shared" ca="1" si="66"/>
        <v>0.51405636095950125</v>
      </c>
      <c r="J99" s="41">
        <f t="shared" ca="1" si="67"/>
        <v>0.5271597858741488</v>
      </c>
      <c r="K99" s="41">
        <f t="shared" ca="1" si="68"/>
        <v>0.56269188401064985</v>
      </c>
      <c r="L99" s="41">
        <f t="shared" ca="1" si="69"/>
        <v>0.6</v>
      </c>
      <c r="M99" s="41">
        <f t="shared" ca="1" si="70"/>
        <v>0.6</v>
      </c>
      <c r="N99">
        <v>1</v>
      </c>
      <c r="Q99">
        <f t="shared" si="50"/>
        <v>3.8461538461538464E-2</v>
      </c>
      <c r="R99">
        <f t="shared" si="48"/>
        <v>3.8461538461538464E-2</v>
      </c>
      <c r="S99">
        <f t="shared" si="48"/>
        <v>3.8461538461538464E-2</v>
      </c>
      <c r="T99">
        <v>40</v>
      </c>
      <c r="U99" s="37">
        <v>0</v>
      </c>
      <c r="V99" s="37">
        <v>0</v>
      </c>
      <c r="W99" s="30">
        <f t="shared" ca="1" si="56"/>
        <v>0.23348567884972762</v>
      </c>
      <c r="X99" s="30">
        <f t="shared" ca="1" si="57"/>
        <v>0.21964516929225383</v>
      </c>
      <c r="Y99" s="30">
        <f t="shared" ca="1" si="58"/>
        <v>0.20053515776116373</v>
      </c>
      <c r="Z99" s="30">
        <f t="shared" ca="1" si="59"/>
        <v>0.1699604996269857</v>
      </c>
      <c r="AA99" s="30">
        <f t="shared" ca="1" si="60"/>
        <v>8.7052270641816518E-2</v>
      </c>
      <c r="AB99" s="30">
        <f t="shared" ca="1" si="61"/>
        <v>0</v>
      </c>
      <c r="AC99" s="30">
        <f t="shared" ca="1" si="62"/>
        <v>0</v>
      </c>
    </row>
    <row r="100" spans="3:29" x14ac:dyDescent="0.25">
      <c r="C100">
        <v>2021</v>
      </c>
      <c r="D100">
        <f t="shared" si="18"/>
        <v>47</v>
      </c>
      <c r="E100">
        <v>0</v>
      </c>
      <c r="F100">
        <v>0</v>
      </c>
      <c r="G100" s="41">
        <f t="shared" ca="1" si="64"/>
        <v>0.51661225755366891</v>
      </c>
      <c r="H100" s="41">
        <f t="shared" ca="1" si="65"/>
        <v>0.52155529668133804</v>
      </c>
      <c r="I100" s="41">
        <f t="shared" ca="1" si="66"/>
        <v>0.52838030079958431</v>
      </c>
      <c r="J100" s="41">
        <f t="shared" ca="1" si="67"/>
        <v>0.53929982156179057</v>
      </c>
      <c r="K100" s="41">
        <f t="shared" ca="1" si="68"/>
        <v>0.56890990334220826</v>
      </c>
      <c r="L100" s="41">
        <f t="shared" ca="1" si="69"/>
        <v>0.6</v>
      </c>
      <c r="M100" s="41">
        <f t="shared" ca="1" si="70"/>
        <v>0.6</v>
      </c>
      <c r="N100">
        <v>1</v>
      </c>
      <c r="Q100">
        <f t="shared" si="50"/>
        <v>3.8461538461538464E-2</v>
      </c>
      <c r="R100">
        <f t="shared" si="48"/>
        <v>3.8461538461538464E-2</v>
      </c>
      <c r="S100">
        <f t="shared" si="48"/>
        <v>3.8461538461538464E-2</v>
      </c>
      <c r="T100">
        <v>41</v>
      </c>
      <c r="U100" s="37">
        <v>0</v>
      </c>
      <c r="V100" s="37">
        <v>0</v>
      </c>
      <c r="W100" s="30">
        <f t="shared" ca="1" si="56"/>
        <v>0.25016322733899388</v>
      </c>
      <c r="X100" s="30">
        <f t="shared" ca="1" si="57"/>
        <v>0.23533410995598625</v>
      </c>
      <c r="Y100" s="30">
        <f t="shared" ca="1" si="58"/>
        <v>0.21485909760124686</v>
      </c>
      <c r="Z100" s="30">
        <f t="shared" ca="1" si="59"/>
        <v>0.18210053531462753</v>
      </c>
      <c r="AA100" s="30">
        <f t="shared" ca="1" si="60"/>
        <v>9.3270289973374845E-2</v>
      </c>
      <c r="AB100" s="30">
        <f t="shared" ca="1" si="61"/>
        <v>0</v>
      </c>
      <c r="AC100" s="30">
        <f t="shared" ca="1" si="62"/>
        <v>0</v>
      </c>
    </row>
    <row r="101" spans="3:29" x14ac:dyDescent="0.25">
      <c r="C101">
        <v>2021</v>
      </c>
      <c r="D101">
        <f t="shared" si="18"/>
        <v>48</v>
      </c>
      <c r="E101">
        <v>0</v>
      </c>
      <c r="F101">
        <v>0</v>
      </c>
      <c r="G101" s="41">
        <f t="shared" ca="1" si="64"/>
        <v>0.53328980604293519</v>
      </c>
      <c r="H101" s="41">
        <f t="shared" ca="1" si="65"/>
        <v>0.53724423734507054</v>
      </c>
      <c r="I101" s="41">
        <f t="shared" ca="1" si="66"/>
        <v>0.54270424063966749</v>
      </c>
      <c r="J101" s="41">
        <f t="shared" ca="1" si="67"/>
        <v>0.55143985724943245</v>
      </c>
      <c r="K101" s="41">
        <f t="shared" ca="1" si="68"/>
        <v>0.57512792267376656</v>
      </c>
      <c r="L101" s="41">
        <f t="shared" ca="1" si="69"/>
        <v>0.6</v>
      </c>
      <c r="M101" s="41">
        <f t="shared" ca="1" si="70"/>
        <v>0.6</v>
      </c>
      <c r="N101">
        <v>1</v>
      </c>
      <c r="Q101">
        <f t="shared" si="50"/>
        <v>3.8461538461538464E-2</v>
      </c>
      <c r="R101">
        <f t="shared" si="48"/>
        <v>3.8461538461538464E-2</v>
      </c>
      <c r="S101">
        <f t="shared" si="48"/>
        <v>3.8461538461538464E-2</v>
      </c>
      <c r="T101">
        <v>42</v>
      </c>
      <c r="U101" s="37">
        <v>0</v>
      </c>
      <c r="V101" s="37">
        <v>0</v>
      </c>
      <c r="W101" s="30">
        <f t="shared" ca="1" si="56"/>
        <v>0.26684077582826016</v>
      </c>
      <c r="X101" s="30">
        <f t="shared" ca="1" si="57"/>
        <v>0.25102305061971869</v>
      </c>
      <c r="Y101" s="30">
        <f t="shared" ca="1" si="58"/>
        <v>0.22918303744132998</v>
      </c>
      <c r="Z101" s="30">
        <f t="shared" ca="1" si="59"/>
        <v>0.19424057100226935</v>
      </c>
      <c r="AA101" s="30">
        <f t="shared" ca="1" si="60"/>
        <v>9.9488309304933173E-2</v>
      </c>
      <c r="AB101" s="30">
        <f t="shared" ca="1" si="61"/>
        <v>0</v>
      </c>
      <c r="AC101" s="30">
        <f t="shared" ca="1" si="62"/>
        <v>0</v>
      </c>
    </row>
    <row r="102" spans="3:29" x14ac:dyDescent="0.25">
      <c r="C102">
        <v>2021</v>
      </c>
      <c r="D102">
        <f t="shared" si="18"/>
        <v>49</v>
      </c>
      <c r="E102">
        <v>0</v>
      </c>
      <c r="F102">
        <v>0</v>
      </c>
      <c r="G102" s="41">
        <f t="shared" ca="1" si="64"/>
        <v>0.54996735453220147</v>
      </c>
      <c r="H102" s="41">
        <f t="shared" ca="1" si="65"/>
        <v>0.55293317800880293</v>
      </c>
      <c r="I102" s="41">
        <f t="shared" ca="1" si="66"/>
        <v>0.55702818047975056</v>
      </c>
      <c r="J102" s="41">
        <f t="shared" ca="1" si="67"/>
        <v>0.56357989293707433</v>
      </c>
      <c r="K102" s="41">
        <f t="shared" ca="1" si="68"/>
        <v>0.58134594200532486</v>
      </c>
      <c r="L102" s="41">
        <f t="shared" ca="1" si="69"/>
        <v>0.6</v>
      </c>
      <c r="M102" s="41">
        <f t="shared" ca="1" si="70"/>
        <v>0.6</v>
      </c>
      <c r="N102">
        <v>1</v>
      </c>
      <c r="Q102">
        <f t="shared" si="50"/>
        <v>3.8461538461538464E-2</v>
      </c>
      <c r="R102">
        <f t="shared" si="48"/>
        <v>3.8461538461538464E-2</v>
      </c>
      <c r="S102">
        <f t="shared" si="48"/>
        <v>3.8461538461538464E-2</v>
      </c>
      <c r="T102">
        <v>43</v>
      </c>
      <c r="U102" s="37">
        <v>0</v>
      </c>
      <c r="V102" s="37">
        <v>0</v>
      </c>
      <c r="W102" s="30">
        <f t="shared" ca="1" si="56"/>
        <v>0.28351832431752644</v>
      </c>
      <c r="X102" s="30">
        <f t="shared" ca="1" si="57"/>
        <v>0.26671199128345113</v>
      </c>
      <c r="Y102" s="30">
        <f t="shared" ca="1" si="58"/>
        <v>0.2435069772814131</v>
      </c>
      <c r="Z102" s="30">
        <f t="shared" ca="1" si="59"/>
        <v>0.20638060668991118</v>
      </c>
      <c r="AA102" s="30">
        <f t="shared" ca="1" si="60"/>
        <v>0.1057063286364915</v>
      </c>
      <c r="AB102" s="30">
        <f t="shared" ca="1" si="61"/>
        <v>0</v>
      </c>
      <c r="AC102" s="30">
        <f t="shared" ca="1" si="62"/>
        <v>0</v>
      </c>
    </row>
    <row r="103" spans="3:29" x14ac:dyDescent="0.25">
      <c r="C103">
        <v>2021</v>
      </c>
      <c r="D103">
        <f t="shared" si="18"/>
        <v>50</v>
      </c>
      <c r="E103">
        <v>0</v>
      </c>
      <c r="F103">
        <v>0</v>
      </c>
      <c r="G103" s="41">
        <f t="shared" ca="1" si="64"/>
        <v>0.56664490302146775</v>
      </c>
      <c r="H103" s="41">
        <f t="shared" ca="1" si="65"/>
        <v>0.56862211867253543</v>
      </c>
      <c r="I103" s="41">
        <f t="shared" ca="1" si="66"/>
        <v>0.57135212031983373</v>
      </c>
      <c r="J103" s="41">
        <f t="shared" ca="1" si="67"/>
        <v>0.5757199286247161</v>
      </c>
      <c r="K103" s="41">
        <f t="shared" ca="1" si="68"/>
        <v>0.58756396133688316</v>
      </c>
      <c r="L103" s="41">
        <f t="shared" ca="1" si="69"/>
        <v>0.6</v>
      </c>
      <c r="M103" s="41">
        <f t="shared" ca="1" si="70"/>
        <v>0.6</v>
      </c>
      <c r="N103">
        <v>1</v>
      </c>
      <c r="Q103">
        <f t="shared" si="50"/>
        <v>3.8461538461538464E-2</v>
      </c>
      <c r="R103">
        <f t="shared" si="48"/>
        <v>3.8461538461538464E-2</v>
      </c>
      <c r="S103">
        <f t="shared" si="48"/>
        <v>3.8461538461538464E-2</v>
      </c>
      <c r="T103">
        <v>44</v>
      </c>
      <c r="U103" s="37">
        <v>0</v>
      </c>
      <c r="V103" s="37">
        <v>0</v>
      </c>
      <c r="W103" s="30">
        <f t="shared" ca="1" si="56"/>
        <v>0.30019587280679272</v>
      </c>
      <c r="X103" s="30">
        <f t="shared" ca="1" si="57"/>
        <v>0.28240093194718358</v>
      </c>
      <c r="Y103" s="30">
        <f t="shared" ca="1" si="58"/>
        <v>0.25783091712149625</v>
      </c>
      <c r="Z103" s="30">
        <f t="shared" ca="1" si="59"/>
        <v>0.218520642377553</v>
      </c>
      <c r="AA103" s="30">
        <f t="shared" ca="1" si="60"/>
        <v>0.11192434796804983</v>
      </c>
      <c r="AB103" s="30">
        <f t="shared" ca="1" si="61"/>
        <v>0</v>
      </c>
      <c r="AC103" s="30">
        <f t="shared" ca="1" si="62"/>
        <v>0</v>
      </c>
    </row>
    <row r="104" spans="3:29" x14ac:dyDescent="0.25">
      <c r="C104">
        <v>2021</v>
      </c>
      <c r="D104">
        <f t="shared" si="18"/>
        <v>51</v>
      </c>
      <c r="E104">
        <v>0</v>
      </c>
      <c r="F104">
        <v>0</v>
      </c>
      <c r="G104" s="41">
        <f t="shared" ca="1" si="64"/>
        <v>0.58332245151073403</v>
      </c>
      <c r="H104" s="41">
        <f t="shared" ca="1" si="65"/>
        <v>0.58431105933626781</v>
      </c>
      <c r="I104" s="41">
        <f t="shared" ca="1" si="66"/>
        <v>0.5856760601599168</v>
      </c>
      <c r="J104" s="41">
        <f t="shared" ca="1" si="67"/>
        <v>0.58785996431235787</v>
      </c>
      <c r="K104" s="41">
        <f t="shared" ca="1" si="68"/>
        <v>0.59378198066844146</v>
      </c>
      <c r="L104" s="41">
        <f t="shared" ca="1" si="69"/>
        <v>0.6</v>
      </c>
      <c r="M104" s="41">
        <f t="shared" ca="1" si="70"/>
        <v>0.6</v>
      </c>
      <c r="N104">
        <v>1</v>
      </c>
      <c r="Q104">
        <f t="shared" si="50"/>
        <v>3.8461538461538464E-2</v>
      </c>
      <c r="R104">
        <f t="shared" si="48"/>
        <v>3.8461538461538464E-2</v>
      </c>
      <c r="S104">
        <f t="shared" si="48"/>
        <v>3.8461538461538464E-2</v>
      </c>
      <c r="T104">
        <v>45</v>
      </c>
      <c r="U104" s="37">
        <v>0</v>
      </c>
      <c r="V104" s="37">
        <v>0</v>
      </c>
      <c r="W104" s="30">
        <f t="shared" ca="1" si="56"/>
        <v>0.316873421296059</v>
      </c>
      <c r="X104" s="30">
        <f t="shared" ca="1" si="57"/>
        <v>0.29808987261091602</v>
      </c>
      <c r="Y104" s="30">
        <f t="shared" ca="1" si="58"/>
        <v>0.27215485696157937</v>
      </c>
      <c r="Z104" s="30">
        <f t="shared" ca="1" si="59"/>
        <v>0.23066067806519483</v>
      </c>
      <c r="AA104" s="30">
        <f t="shared" ca="1" si="60"/>
        <v>0.11814236729960816</v>
      </c>
      <c r="AB104" s="30">
        <f t="shared" ca="1" si="61"/>
        <v>0</v>
      </c>
      <c r="AC104" s="30">
        <f t="shared" ca="1" si="62"/>
        <v>0</v>
      </c>
    </row>
    <row r="105" spans="3:29" x14ac:dyDescent="0.25">
      <c r="C105">
        <v>2021</v>
      </c>
      <c r="D105">
        <f t="shared" si="18"/>
        <v>52</v>
      </c>
      <c r="E105">
        <v>0</v>
      </c>
      <c r="F105">
        <v>0</v>
      </c>
      <c r="G105" s="41">
        <f t="shared" ca="1" si="64"/>
        <v>0.60000000000000031</v>
      </c>
      <c r="H105" s="41">
        <f t="shared" ca="1" si="65"/>
        <v>0.60000000000000031</v>
      </c>
      <c r="I105" s="41">
        <f t="shared" ca="1" si="66"/>
        <v>0.6</v>
      </c>
      <c r="J105" s="41">
        <f t="shared" ca="1" si="67"/>
        <v>0.59999999999999976</v>
      </c>
      <c r="K105" s="41">
        <f t="shared" ca="1" si="68"/>
        <v>0.59999999999999987</v>
      </c>
      <c r="L105" s="41">
        <f t="shared" ca="1" si="69"/>
        <v>0.6</v>
      </c>
      <c r="M105" s="41">
        <f t="shared" ca="1" si="70"/>
        <v>0.6</v>
      </c>
      <c r="N105">
        <v>1</v>
      </c>
      <c r="Q105">
        <f t="shared" si="50"/>
        <v>3.8461538461538464E-2</v>
      </c>
      <c r="R105">
        <f t="shared" si="48"/>
        <v>3.8461538461538464E-2</v>
      </c>
      <c r="S105">
        <f t="shared" si="48"/>
        <v>3.8461538461538464E-2</v>
      </c>
      <c r="T105">
        <v>46</v>
      </c>
      <c r="U105" s="37">
        <v>0</v>
      </c>
      <c r="V105" s="37">
        <v>0</v>
      </c>
      <c r="W105" s="30">
        <f t="shared" ca="1" si="56"/>
        <v>0.33355096978532528</v>
      </c>
      <c r="X105" s="30">
        <f t="shared" ca="1" si="57"/>
        <v>0.31377881327464846</v>
      </c>
      <c r="Y105" s="30">
        <f t="shared" ca="1" si="58"/>
        <v>0.28647879680166249</v>
      </c>
      <c r="Z105" s="30">
        <f t="shared" ca="1" si="59"/>
        <v>0.24280071375283666</v>
      </c>
      <c r="AA105" s="30">
        <f t="shared" ca="1" si="60"/>
        <v>0.12436038663116648</v>
      </c>
      <c r="AB105" s="30">
        <f t="shared" ca="1" si="61"/>
        <v>0</v>
      </c>
      <c r="AC105" s="30">
        <f t="shared" ca="1" si="62"/>
        <v>0</v>
      </c>
    </row>
    <row r="106" spans="3:29" x14ac:dyDescent="0.25">
      <c r="C106">
        <f>+C105+1</f>
        <v>2022</v>
      </c>
      <c r="D106">
        <f>+D54</f>
        <v>1</v>
      </c>
      <c r="E106" s="37">
        <f>+E105</f>
        <v>0</v>
      </c>
      <c r="F106" s="37">
        <f t="shared" ref="F106:N106" si="71">+F105</f>
        <v>0</v>
      </c>
      <c r="G106" s="37">
        <f t="shared" ca="1" si="71"/>
        <v>0.60000000000000031</v>
      </c>
      <c r="H106" s="37">
        <f t="shared" ca="1" si="71"/>
        <v>0.60000000000000031</v>
      </c>
      <c r="I106" s="37">
        <f t="shared" ca="1" si="71"/>
        <v>0.6</v>
      </c>
      <c r="J106" s="37">
        <f t="shared" ca="1" si="71"/>
        <v>0.59999999999999976</v>
      </c>
      <c r="K106" s="37">
        <f t="shared" ca="1" si="71"/>
        <v>0.59999999999999987</v>
      </c>
      <c r="L106" s="37">
        <f t="shared" ca="1" si="71"/>
        <v>0.6</v>
      </c>
      <c r="M106" s="37">
        <f t="shared" ca="1" si="71"/>
        <v>0.6</v>
      </c>
      <c r="N106" s="56">
        <f t="shared" si="71"/>
        <v>1</v>
      </c>
      <c r="Q106">
        <f t="shared" si="50"/>
        <v>3.8461538461538464E-2</v>
      </c>
      <c r="R106">
        <f t="shared" si="48"/>
        <v>3.8461538461538464E-2</v>
      </c>
      <c r="S106">
        <f t="shared" si="48"/>
        <v>3.8461538461538464E-2</v>
      </c>
      <c r="T106">
        <v>47</v>
      </c>
      <c r="U106" s="37">
        <v>0</v>
      </c>
      <c r="V106" s="37">
        <v>0</v>
      </c>
      <c r="W106" s="30">
        <f t="shared" ca="1" si="56"/>
        <v>0.35022851827459156</v>
      </c>
      <c r="X106" s="30">
        <f t="shared" ca="1" si="57"/>
        <v>0.3294677539383809</v>
      </c>
      <c r="Y106" s="30">
        <f t="shared" ca="1" si="58"/>
        <v>0.30080273664174562</v>
      </c>
      <c r="Z106" s="30">
        <f t="shared" ca="1" si="59"/>
        <v>0.25494074944047851</v>
      </c>
      <c r="AA106" s="30">
        <f t="shared" ca="1" si="60"/>
        <v>0.1305784059627248</v>
      </c>
      <c r="AB106" s="30">
        <f t="shared" ca="1" si="61"/>
        <v>0</v>
      </c>
      <c r="AC106" s="30">
        <f t="shared" ca="1" si="62"/>
        <v>0</v>
      </c>
    </row>
    <row r="107" spans="3:29" x14ac:dyDescent="0.25">
      <c r="C107">
        <f>+C106</f>
        <v>2022</v>
      </c>
      <c r="D107">
        <f t="shared" ref="D107:D170" si="72">+D55</f>
        <v>2</v>
      </c>
      <c r="E107" s="37">
        <f t="shared" ref="E107:E170" si="73">+E106</f>
        <v>0</v>
      </c>
      <c r="F107" s="37">
        <f t="shared" ref="F107:F170" si="74">+F106</f>
        <v>0</v>
      </c>
      <c r="G107" s="37">
        <f t="shared" ref="G107:G170" ca="1" si="75">+G106</f>
        <v>0.60000000000000031</v>
      </c>
      <c r="H107" s="37">
        <f t="shared" ref="H107:H170" ca="1" si="76">+H106</f>
        <v>0.60000000000000031</v>
      </c>
      <c r="I107" s="37">
        <f t="shared" ref="I107:I170" ca="1" si="77">+I106</f>
        <v>0.6</v>
      </c>
      <c r="J107" s="37">
        <f t="shared" ref="J107:J170" ca="1" si="78">+J106</f>
        <v>0.59999999999999976</v>
      </c>
      <c r="K107" s="37">
        <f t="shared" ref="K107:K170" ca="1" si="79">+K106</f>
        <v>0.59999999999999987</v>
      </c>
      <c r="L107" s="37">
        <f t="shared" ref="L107:L170" ca="1" si="80">+L106</f>
        <v>0.6</v>
      </c>
      <c r="M107" s="37">
        <f t="shared" ref="M107:M170" ca="1" si="81">+M106</f>
        <v>0.6</v>
      </c>
      <c r="N107" s="56">
        <f t="shared" ref="N107:N170" si="82">+N106</f>
        <v>1</v>
      </c>
      <c r="Q107">
        <f t="shared" si="50"/>
        <v>3.8461538461538464E-2</v>
      </c>
      <c r="R107">
        <f t="shared" si="48"/>
        <v>3.8461538461538464E-2</v>
      </c>
      <c r="S107">
        <f t="shared" si="48"/>
        <v>3.8461538461538464E-2</v>
      </c>
      <c r="T107">
        <v>48</v>
      </c>
      <c r="U107" s="37">
        <v>0</v>
      </c>
      <c r="V107" s="37">
        <v>0</v>
      </c>
      <c r="W107" s="30">
        <f t="shared" ca="1" si="56"/>
        <v>0.36690606676385784</v>
      </c>
      <c r="X107" s="30">
        <f t="shared" ca="1" si="57"/>
        <v>0.34515669460211335</v>
      </c>
      <c r="Y107" s="30">
        <f t="shared" ca="1" si="58"/>
        <v>0.31512667648182874</v>
      </c>
      <c r="Z107" s="30">
        <f t="shared" ca="1" si="59"/>
        <v>0.26708078512812033</v>
      </c>
      <c r="AA107" s="30">
        <f t="shared" ca="1" si="60"/>
        <v>0.13679642529428312</v>
      </c>
      <c r="AB107" s="30">
        <f t="shared" ca="1" si="61"/>
        <v>0</v>
      </c>
      <c r="AC107" s="30">
        <f t="shared" ca="1" si="62"/>
        <v>0</v>
      </c>
    </row>
    <row r="108" spans="3:29" x14ac:dyDescent="0.25">
      <c r="C108">
        <f t="shared" ref="C108:C157" si="83">+C107</f>
        <v>2022</v>
      </c>
      <c r="D108">
        <f t="shared" si="72"/>
        <v>3</v>
      </c>
      <c r="E108" s="37">
        <f t="shared" si="73"/>
        <v>0</v>
      </c>
      <c r="F108" s="37">
        <f t="shared" si="74"/>
        <v>0</v>
      </c>
      <c r="G108" s="37">
        <f t="shared" ca="1" si="75"/>
        <v>0.60000000000000031</v>
      </c>
      <c r="H108" s="37">
        <f t="shared" ca="1" si="76"/>
        <v>0.60000000000000031</v>
      </c>
      <c r="I108" s="37">
        <f t="shared" ca="1" si="77"/>
        <v>0.6</v>
      </c>
      <c r="J108" s="37">
        <f t="shared" ca="1" si="78"/>
        <v>0.59999999999999976</v>
      </c>
      <c r="K108" s="37">
        <f t="shared" ca="1" si="79"/>
        <v>0.59999999999999987</v>
      </c>
      <c r="L108" s="37">
        <f t="shared" ca="1" si="80"/>
        <v>0.6</v>
      </c>
      <c r="M108" s="37">
        <f t="shared" ca="1" si="81"/>
        <v>0.6</v>
      </c>
      <c r="N108" s="56">
        <f t="shared" si="82"/>
        <v>1</v>
      </c>
      <c r="Q108">
        <f t="shared" si="50"/>
        <v>3.8461538461538464E-2</v>
      </c>
      <c r="R108">
        <f t="shared" si="48"/>
        <v>3.8461538461538464E-2</v>
      </c>
      <c r="S108">
        <f t="shared" si="48"/>
        <v>3.8461538461538464E-2</v>
      </c>
      <c r="T108">
        <v>49</v>
      </c>
      <c r="U108" s="37">
        <v>0</v>
      </c>
      <c r="V108" s="37">
        <v>0</v>
      </c>
      <c r="W108" s="30">
        <f t="shared" ca="1" si="56"/>
        <v>0.38358361525312412</v>
      </c>
      <c r="X108" s="30">
        <f t="shared" ca="1" si="57"/>
        <v>0.36084563526584579</v>
      </c>
      <c r="Y108" s="30">
        <f t="shared" ca="1" si="58"/>
        <v>0.32945061632191186</v>
      </c>
      <c r="Z108" s="30">
        <f t="shared" ca="1" si="59"/>
        <v>0.27922082081576216</v>
      </c>
      <c r="AA108" s="30">
        <f t="shared" ca="1" si="60"/>
        <v>0.14301444462584145</v>
      </c>
      <c r="AB108" s="30">
        <f t="shared" ca="1" si="61"/>
        <v>0</v>
      </c>
      <c r="AC108" s="30">
        <f t="shared" ca="1" si="62"/>
        <v>0</v>
      </c>
    </row>
    <row r="109" spans="3:29" x14ac:dyDescent="0.25">
      <c r="C109">
        <f t="shared" si="83"/>
        <v>2022</v>
      </c>
      <c r="D109">
        <f t="shared" si="72"/>
        <v>4</v>
      </c>
      <c r="E109" s="37">
        <f t="shared" si="73"/>
        <v>0</v>
      </c>
      <c r="F109" s="37">
        <f t="shared" si="74"/>
        <v>0</v>
      </c>
      <c r="G109" s="37">
        <f t="shared" ca="1" si="75"/>
        <v>0.60000000000000031</v>
      </c>
      <c r="H109" s="37">
        <f t="shared" ca="1" si="76"/>
        <v>0.60000000000000031</v>
      </c>
      <c r="I109" s="37">
        <f t="shared" ca="1" si="77"/>
        <v>0.6</v>
      </c>
      <c r="J109" s="37">
        <f t="shared" ca="1" si="78"/>
        <v>0.59999999999999976</v>
      </c>
      <c r="K109" s="37">
        <f t="shared" ca="1" si="79"/>
        <v>0.59999999999999987</v>
      </c>
      <c r="L109" s="37">
        <f t="shared" ca="1" si="80"/>
        <v>0.6</v>
      </c>
      <c r="M109" s="37">
        <f t="shared" ca="1" si="81"/>
        <v>0.6</v>
      </c>
      <c r="N109" s="56">
        <f t="shared" si="82"/>
        <v>1</v>
      </c>
      <c r="Q109">
        <f t="shared" si="50"/>
        <v>3.8461538461538464E-2</v>
      </c>
      <c r="R109">
        <f t="shared" si="48"/>
        <v>3.8461538461538464E-2</v>
      </c>
      <c r="S109">
        <f t="shared" si="48"/>
        <v>3.8461538461538464E-2</v>
      </c>
      <c r="T109">
        <v>50</v>
      </c>
      <c r="U109" s="37">
        <v>0</v>
      </c>
      <c r="V109" s="37">
        <v>0</v>
      </c>
      <c r="W109" s="30">
        <f t="shared" ca="1" si="56"/>
        <v>0.4002611637423904</v>
      </c>
      <c r="X109" s="30">
        <f t="shared" ca="1" si="57"/>
        <v>0.37653457592957823</v>
      </c>
      <c r="Y109" s="30">
        <f t="shared" ca="1" si="58"/>
        <v>0.34377455616199498</v>
      </c>
      <c r="Z109" s="30">
        <f t="shared" ca="1" si="59"/>
        <v>0.29136085650340399</v>
      </c>
      <c r="AA109" s="30">
        <f t="shared" ca="1" si="60"/>
        <v>0.14923246395739978</v>
      </c>
      <c r="AB109" s="30">
        <f t="shared" ca="1" si="61"/>
        <v>0</v>
      </c>
      <c r="AC109" s="30">
        <f t="shared" ca="1" si="62"/>
        <v>0</v>
      </c>
    </row>
    <row r="110" spans="3:29" x14ac:dyDescent="0.25">
      <c r="C110">
        <f t="shared" si="83"/>
        <v>2022</v>
      </c>
      <c r="D110">
        <f t="shared" si="72"/>
        <v>5</v>
      </c>
      <c r="E110" s="37">
        <f t="shared" si="73"/>
        <v>0</v>
      </c>
      <c r="F110" s="37">
        <f t="shared" si="74"/>
        <v>0</v>
      </c>
      <c r="G110" s="37">
        <f t="shared" ca="1" si="75"/>
        <v>0.60000000000000031</v>
      </c>
      <c r="H110" s="37">
        <f t="shared" ca="1" si="76"/>
        <v>0.60000000000000031</v>
      </c>
      <c r="I110" s="37">
        <f t="shared" ca="1" si="77"/>
        <v>0.6</v>
      </c>
      <c r="J110" s="37">
        <f t="shared" ca="1" si="78"/>
        <v>0.59999999999999976</v>
      </c>
      <c r="K110" s="37">
        <f t="shared" ca="1" si="79"/>
        <v>0.59999999999999987</v>
      </c>
      <c r="L110" s="37">
        <f t="shared" ca="1" si="80"/>
        <v>0.6</v>
      </c>
      <c r="M110" s="37">
        <f t="shared" ca="1" si="81"/>
        <v>0.6</v>
      </c>
      <c r="N110" s="56">
        <f t="shared" si="82"/>
        <v>1</v>
      </c>
      <c r="Q110">
        <f t="shared" si="50"/>
        <v>3.8461538461538464E-2</v>
      </c>
      <c r="R110">
        <f t="shared" si="48"/>
        <v>3.8461538461538464E-2</v>
      </c>
      <c r="S110">
        <f t="shared" si="48"/>
        <v>3.8461538461538464E-2</v>
      </c>
      <c r="T110">
        <v>51</v>
      </c>
      <c r="U110" s="37">
        <v>0</v>
      </c>
      <c r="V110" s="37">
        <v>0</v>
      </c>
      <c r="W110" s="30">
        <f t="shared" ca="1" si="56"/>
        <v>0.41693871223165668</v>
      </c>
      <c r="X110" s="30">
        <f t="shared" ca="1" si="57"/>
        <v>0.39222351659331067</v>
      </c>
      <c r="Y110" s="30">
        <f t="shared" ca="1" si="58"/>
        <v>0.3580984960020781</v>
      </c>
      <c r="Z110" s="30">
        <f t="shared" ca="1" si="59"/>
        <v>0.30350089219104581</v>
      </c>
      <c r="AA110" s="30">
        <f t="shared" ca="1" si="60"/>
        <v>0.15545048328895811</v>
      </c>
      <c r="AB110" s="30">
        <f t="shared" ca="1" si="61"/>
        <v>0</v>
      </c>
      <c r="AC110" s="30">
        <f t="shared" ca="1" si="62"/>
        <v>0</v>
      </c>
    </row>
    <row r="111" spans="3:29" x14ac:dyDescent="0.25">
      <c r="C111">
        <f t="shared" si="83"/>
        <v>2022</v>
      </c>
      <c r="D111">
        <f t="shared" si="72"/>
        <v>6</v>
      </c>
      <c r="E111" s="37">
        <f t="shared" si="73"/>
        <v>0</v>
      </c>
      <c r="F111" s="37">
        <f t="shared" si="74"/>
        <v>0</v>
      </c>
      <c r="G111" s="37">
        <f t="shared" ca="1" si="75"/>
        <v>0.60000000000000031</v>
      </c>
      <c r="H111" s="37">
        <f t="shared" ca="1" si="76"/>
        <v>0.60000000000000031</v>
      </c>
      <c r="I111" s="37">
        <f t="shared" ca="1" si="77"/>
        <v>0.6</v>
      </c>
      <c r="J111" s="37">
        <f t="shared" ca="1" si="78"/>
        <v>0.59999999999999976</v>
      </c>
      <c r="K111" s="37">
        <f t="shared" ca="1" si="79"/>
        <v>0.59999999999999987</v>
      </c>
      <c r="L111" s="37">
        <f t="shared" ca="1" si="80"/>
        <v>0.6</v>
      </c>
      <c r="M111" s="37">
        <f t="shared" ca="1" si="81"/>
        <v>0.6</v>
      </c>
      <c r="N111" s="56">
        <f t="shared" si="82"/>
        <v>1</v>
      </c>
      <c r="Q111">
        <f t="shared" si="50"/>
        <v>3.8461538461538464E-2</v>
      </c>
      <c r="R111">
        <f t="shared" si="48"/>
        <v>3.8461538461538464E-2</v>
      </c>
      <c r="S111">
        <f t="shared" si="48"/>
        <v>3.8461538461538464E-2</v>
      </c>
      <c r="T111">
        <v>52</v>
      </c>
      <c r="U111" s="37">
        <v>0</v>
      </c>
      <c r="V111" s="37">
        <v>0</v>
      </c>
      <c r="W111" s="30">
        <f t="shared" ca="1" si="56"/>
        <v>0.43361626072092296</v>
      </c>
      <c r="X111" s="30">
        <f t="shared" ca="1" si="57"/>
        <v>0.40791245725704312</v>
      </c>
      <c r="Y111" s="30">
        <f t="shared" ca="1" si="58"/>
        <v>0.37242243584216123</v>
      </c>
      <c r="Z111" s="30">
        <f t="shared" ca="1" si="59"/>
        <v>0.31564092787868764</v>
      </c>
      <c r="AA111" s="30">
        <f t="shared" ca="1" si="60"/>
        <v>0.16166850262051644</v>
      </c>
      <c r="AB111" s="30">
        <f t="shared" ca="1" si="61"/>
        <v>0</v>
      </c>
      <c r="AC111" s="30">
        <f t="shared" ca="1" si="62"/>
        <v>0</v>
      </c>
    </row>
    <row r="112" spans="3:29" x14ac:dyDescent="0.25">
      <c r="C112">
        <f t="shared" si="83"/>
        <v>2022</v>
      </c>
      <c r="D112">
        <f t="shared" si="72"/>
        <v>7</v>
      </c>
      <c r="E112" s="37">
        <f t="shared" si="73"/>
        <v>0</v>
      </c>
      <c r="F112" s="37">
        <f t="shared" si="74"/>
        <v>0</v>
      </c>
      <c r="G112" s="37">
        <f t="shared" ca="1" si="75"/>
        <v>0.60000000000000031</v>
      </c>
      <c r="H112" s="37">
        <f t="shared" ca="1" si="76"/>
        <v>0.60000000000000031</v>
      </c>
      <c r="I112" s="37">
        <f t="shared" ca="1" si="77"/>
        <v>0.6</v>
      </c>
      <c r="J112" s="37">
        <f t="shared" ca="1" si="78"/>
        <v>0.59999999999999976</v>
      </c>
      <c r="K112" s="37">
        <f t="shared" ca="1" si="79"/>
        <v>0.59999999999999987</v>
      </c>
      <c r="L112" s="37">
        <f t="shared" ca="1" si="80"/>
        <v>0.6</v>
      </c>
      <c r="M112" s="37">
        <f t="shared" ca="1" si="81"/>
        <v>0.6</v>
      </c>
      <c r="N112" s="56">
        <f t="shared" si="82"/>
        <v>1</v>
      </c>
    </row>
    <row r="113" spans="3:14" x14ac:dyDescent="0.25">
      <c r="C113">
        <f t="shared" si="83"/>
        <v>2022</v>
      </c>
      <c r="D113">
        <f t="shared" si="72"/>
        <v>8</v>
      </c>
      <c r="E113" s="37">
        <f t="shared" si="73"/>
        <v>0</v>
      </c>
      <c r="F113" s="37">
        <f t="shared" si="74"/>
        <v>0</v>
      </c>
      <c r="G113" s="37">
        <f t="shared" ca="1" si="75"/>
        <v>0.60000000000000031</v>
      </c>
      <c r="H113" s="37">
        <f t="shared" ca="1" si="76"/>
        <v>0.60000000000000031</v>
      </c>
      <c r="I113" s="37">
        <f t="shared" ca="1" si="77"/>
        <v>0.6</v>
      </c>
      <c r="J113" s="37">
        <f t="shared" ca="1" si="78"/>
        <v>0.59999999999999976</v>
      </c>
      <c r="K113" s="37">
        <f t="shared" ca="1" si="79"/>
        <v>0.59999999999999987</v>
      </c>
      <c r="L113" s="37">
        <f t="shared" ca="1" si="80"/>
        <v>0.6</v>
      </c>
      <c r="M113" s="37">
        <f t="shared" ca="1" si="81"/>
        <v>0.6</v>
      </c>
      <c r="N113" s="56">
        <f t="shared" si="82"/>
        <v>1</v>
      </c>
    </row>
    <row r="114" spans="3:14" x14ac:dyDescent="0.25">
      <c r="C114">
        <f t="shared" si="83"/>
        <v>2022</v>
      </c>
      <c r="D114">
        <f t="shared" si="72"/>
        <v>9</v>
      </c>
      <c r="E114" s="37">
        <f t="shared" si="73"/>
        <v>0</v>
      </c>
      <c r="F114" s="37">
        <f t="shared" si="74"/>
        <v>0</v>
      </c>
      <c r="G114" s="37">
        <f t="shared" ca="1" si="75"/>
        <v>0.60000000000000031</v>
      </c>
      <c r="H114" s="37">
        <f t="shared" ca="1" si="76"/>
        <v>0.60000000000000031</v>
      </c>
      <c r="I114" s="37">
        <f t="shared" ca="1" si="77"/>
        <v>0.6</v>
      </c>
      <c r="J114" s="37">
        <f t="shared" ca="1" si="78"/>
        <v>0.59999999999999976</v>
      </c>
      <c r="K114" s="37">
        <f t="shared" ca="1" si="79"/>
        <v>0.59999999999999987</v>
      </c>
      <c r="L114" s="37">
        <f t="shared" ca="1" si="80"/>
        <v>0.6</v>
      </c>
      <c r="M114" s="37">
        <f t="shared" ca="1" si="81"/>
        <v>0.6</v>
      </c>
      <c r="N114" s="56">
        <f t="shared" si="82"/>
        <v>1</v>
      </c>
    </row>
    <row r="115" spans="3:14" x14ac:dyDescent="0.25">
      <c r="C115">
        <f t="shared" si="83"/>
        <v>2022</v>
      </c>
      <c r="D115">
        <f t="shared" si="72"/>
        <v>10</v>
      </c>
      <c r="E115" s="37">
        <f t="shared" si="73"/>
        <v>0</v>
      </c>
      <c r="F115" s="37">
        <f t="shared" si="74"/>
        <v>0</v>
      </c>
      <c r="G115" s="37">
        <f t="shared" ca="1" si="75"/>
        <v>0.60000000000000031</v>
      </c>
      <c r="H115" s="37">
        <f t="shared" ca="1" si="76"/>
        <v>0.60000000000000031</v>
      </c>
      <c r="I115" s="37">
        <f t="shared" ca="1" si="77"/>
        <v>0.6</v>
      </c>
      <c r="J115" s="37">
        <f t="shared" ca="1" si="78"/>
        <v>0.59999999999999976</v>
      </c>
      <c r="K115" s="37">
        <f t="shared" ca="1" si="79"/>
        <v>0.59999999999999987</v>
      </c>
      <c r="L115" s="37">
        <f t="shared" ca="1" si="80"/>
        <v>0.6</v>
      </c>
      <c r="M115" s="37">
        <f t="shared" ca="1" si="81"/>
        <v>0.6</v>
      </c>
      <c r="N115" s="56">
        <f t="shared" si="82"/>
        <v>1</v>
      </c>
    </row>
    <row r="116" spans="3:14" x14ac:dyDescent="0.25">
      <c r="C116">
        <f t="shared" si="83"/>
        <v>2022</v>
      </c>
      <c r="D116">
        <f t="shared" si="72"/>
        <v>11</v>
      </c>
      <c r="E116" s="37">
        <f t="shared" si="73"/>
        <v>0</v>
      </c>
      <c r="F116" s="37">
        <f t="shared" si="74"/>
        <v>0</v>
      </c>
      <c r="G116" s="37">
        <f t="shared" ca="1" si="75"/>
        <v>0.60000000000000031</v>
      </c>
      <c r="H116" s="37">
        <f t="shared" ca="1" si="76"/>
        <v>0.60000000000000031</v>
      </c>
      <c r="I116" s="37">
        <f t="shared" ca="1" si="77"/>
        <v>0.6</v>
      </c>
      <c r="J116" s="37">
        <f t="shared" ca="1" si="78"/>
        <v>0.59999999999999976</v>
      </c>
      <c r="K116" s="37">
        <f t="shared" ca="1" si="79"/>
        <v>0.59999999999999987</v>
      </c>
      <c r="L116" s="37">
        <f t="shared" ca="1" si="80"/>
        <v>0.6</v>
      </c>
      <c r="M116" s="37">
        <f t="shared" ca="1" si="81"/>
        <v>0.6</v>
      </c>
      <c r="N116" s="56">
        <f t="shared" si="82"/>
        <v>1</v>
      </c>
    </row>
    <row r="117" spans="3:14" x14ac:dyDescent="0.25">
      <c r="C117">
        <f t="shared" si="83"/>
        <v>2022</v>
      </c>
      <c r="D117">
        <f t="shared" si="72"/>
        <v>12</v>
      </c>
      <c r="E117" s="37">
        <f t="shared" si="73"/>
        <v>0</v>
      </c>
      <c r="F117" s="37">
        <f t="shared" si="74"/>
        <v>0</v>
      </c>
      <c r="G117" s="37">
        <f t="shared" ca="1" si="75"/>
        <v>0.60000000000000031</v>
      </c>
      <c r="H117" s="37">
        <f t="shared" ca="1" si="76"/>
        <v>0.60000000000000031</v>
      </c>
      <c r="I117" s="37">
        <f t="shared" ca="1" si="77"/>
        <v>0.6</v>
      </c>
      <c r="J117" s="37">
        <f t="shared" ca="1" si="78"/>
        <v>0.59999999999999976</v>
      </c>
      <c r="K117" s="37">
        <f t="shared" ca="1" si="79"/>
        <v>0.59999999999999987</v>
      </c>
      <c r="L117" s="37">
        <f t="shared" ca="1" si="80"/>
        <v>0.6</v>
      </c>
      <c r="M117" s="37">
        <f t="shared" ca="1" si="81"/>
        <v>0.6</v>
      </c>
      <c r="N117" s="56">
        <f t="shared" si="82"/>
        <v>1</v>
      </c>
    </row>
    <row r="118" spans="3:14" x14ac:dyDescent="0.25">
      <c r="C118">
        <f t="shared" si="83"/>
        <v>2022</v>
      </c>
      <c r="D118">
        <f t="shared" si="72"/>
        <v>13</v>
      </c>
      <c r="E118" s="37">
        <f t="shared" si="73"/>
        <v>0</v>
      </c>
      <c r="F118" s="37">
        <f t="shared" si="74"/>
        <v>0</v>
      </c>
      <c r="G118" s="37">
        <f t="shared" ca="1" si="75"/>
        <v>0.60000000000000031</v>
      </c>
      <c r="H118" s="37">
        <f t="shared" ca="1" si="76"/>
        <v>0.60000000000000031</v>
      </c>
      <c r="I118" s="37">
        <f t="shared" ca="1" si="77"/>
        <v>0.6</v>
      </c>
      <c r="J118" s="37">
        <f t="shared" ca="1" si="78"/>
        <v>0.59999999999999976</v>
      </c>
      <c r="K118" s="37">
        <f t="shared" ca="1" si="79"/>
        <v>0.59999999999999987</v>
      </c>
      <c r="L118" s="37">
        <f t="shared" ca="1" si="80"/>
        <v>0.6</v>
      </c>
      <c r="M118" s="37">
        <f t="shared" ca="1" si="81"/>
        <v>0.6</v>
      </c>
      <c r="N118" s="56">
        <f t="shared" si="82"/>
        <v>1</v>
      </c>
    </row>
    <row r="119" spans="3:14" x14ac:dyDescent="0.25">
      <c r="C119">
        <f t="shared" si="83"/>
        <v>2022</v>
      </c>
      <c r="D119">
        <f t="shared" si="72"/>
        <v>14</v>
      </c>
      <c r="E119" s="37">
        <f t="shared" si="73"/>
        <v>0</v>
      </c>
      <c r="F119" s="37">
        <f t="shared" si="74"/>
        <v>0</v>
      </c>
      <c r="G119" s="37">
        <f t="shared" ca="1" si="75"/>
        <v>0.60000000000000031</v>
      </c>
      <c r="H119" s="37">
        <f t="shared" ca="1" si="76"/>
        <v>0.60000000000000031</v>
      </c>
      <c r="I119" s="37">
        <f t="shared" ca="1" si="77"/>
        <v>0.6</v>
      </c>
      <c r="J119" s="37">
        <f t="shared" ca="1" si="78"/>
        <v>0.59999999999999976</v>
      </c>
      <c r="K119" s="37">
        <f t="shared" ca="1" si="79"/>
        <v>0.59999999999999987</v>
      </c>
      <c r="L119" s="37">
        <f t="shared" ca="1" si="80"/>
        <v>0.6</v>
      </c>
      <c r="M119" s="37">
        <f t="shared" ca="1" si="81"/>
        <v>0.6</v>
      </c>
      <c r="N119" s="56">
        <f t="shared" si="82"/>
        <v>1</v>
      </c>
    </row>
    <row r="120" spans="3:14" x14ac:dyDescent="0.25">
      <c r="C120">
        <f t="shared" si="83"/>
        <v>2022</v>
      </c>
      <c r="D120">
        <f t="shared" si="72"/>
        <v>15</v>
      </c>
      <c r="E120" s="37">
        <f t="shared" si="73"/>
        <v>0</v>
      </c>
      <c r="F120" s="37">
        <f t="shared" si="74"/>
        <v>0</v>
      </c>
      <c r="G120" s="37">
        <f t="shared" ca="1" si="75"/>
        <v>0.60000000000000031</v>
      </c>
      <c r="H120" s="37">
        <f t="shared" ca="1" si="76"/>
        <v>0.60000000000000031</v>
      </c>
      <c r="I120" s="37">
        <f t="shared" ca="1" si="77"/>
        <v>0.6</v>
      </c>
      <c r="J120" s="37">
        <f t="shared" ca="1" si="78"/>
        <v>0.59999999999999976</v>
      </c>
      <c r="K120" s="37">
        <f t="shared" ca="1" si="79"/>
        <v>0.59999999999999987</v>
      </c>
      <c r="L120" s="37">
        <f t="shared" ca="1" si="80"/>
        <v>0.6</v>
      </c>
      <c r="M120" s="37">
        <f t="shared" ca="1" si="81"/>
        <v>0.6</v>
      </c>
      <c r="N120" s="56">
        <f t="shared" si="82"/>
        <v>1</v>
      </c>
    </row>
    <row r="121" spans="3:14" x14ac:dyDescent="0.25">
      <c r="C121">
        <f t="shared" si="83"/>
        <v>2022</v>
      </c>
      <c r="D121">
        <f t="shared" si="72"/>
        <v>16</v>
      </c>
      <c r="E121" s="37">
        <f t="shared" si="73"/>
        <v>0</v>
      </c>
      <c r="F121" s="37">
        <f t="shared" si="74"/>
        <v>0</v>
      </c>
      <c r="G121" s="37">
        <f t="shared" ca="1" si="75"/>
        <v>0.60000000000000031</v>
      </c>
      <c r="H121" s="37">
        <f t="shared" ca="1" si="76"/>
        <v>0.60000000000000031</v>
      </c>
      <c r="I121" s="37">
        <f t="shared" ca="1" si="77"/>
        <v>0.6</v>
      </c>
      <c r="J121" s="37">
        <f t="shared" ca="1" si="78"/>
        <v>0.59999999999999976</v>
      </c>
      <c r="K121" s="37">
        <f t="shared" ca="1" si="79"/>
        <v>0.59999999999999987</v>
      </c>
      <c r="L121" s="37">
        <f t="shared" ca="1" si="80"/>
        <v>0.6</v>
      </c>
      <c r="M121" s="37">
        <f t="shared" ca="1" si="81"/>
        <v>0.6</v>
      </c>
      <c r="N121" s="56">
        <f t="shared" si="82"/>
        <v>1</v>
      </c>
    </row>
    <row r="122" spans="3:14" x14ac:dyDescent="0.25">
      <c r="C122">
        <f t="shared" si="83"/>
        <v>2022</v>
      </c>
      <c r="D122">
        <f t="shared" si="72"/>
        <v>17</v>
      </c>
      <c r="E122" s="37">
        <f t="shared" si="73"/>
        <v>0</v>
      </c>
      <c r="F122" s="37">
        <f t="shared" si="74"/>
        <v>0</v>
      </c>
      <c r="G122" s="37">
        <f t="shared" ca="1" si="75"/>
        <v>0.60000000000000031</v>
      </c>
      <c r="H122" s="37">
        <f t="shared" ca="1" si="76"/>
        <v>0.60000000000000031</v>
      </c>
      <c r="I122" s="37">
        <f t="shared" ca="1" si="77"/>
        <v>0.6</v>
      </c>
      <c r="J122" s="37">
        <f t="shared" ca="1" si="78"/>
        <v>0.59999999999999976</v>
      </c>
      <c r="K122" s="37">
        <f t="shared" ca="1" si="79"/>
        <v>0.59999999999999987</v>
      </c>
      <c r="L122" s="37">
        <f t="shared" ca="1" si="80"/>
        <v>0.6</v>
      </c>
      <c r="M122" s="37">
        <f t="shared" ca="1" si="81"/>
        <v>0.6</v>
      </c>
      <c r="N122" s="56">
        <f t="shared" si="82"/>
        <v>1</v>
      </c>
    </row>
    <row r="123" spans="3:14" x14ac:dyDescent="0.25">
      <c r="C123">
        <f t="shared" si="83"/>
        <v>2022</v>
      </c>
      <c r="D123">
        <f t="shared" si="72"/>
        <v>18</v>
      </c>
      <c r="E123" s="37">
        <f t="shared" si="73"/>
        <v>0</v>
      </c>
      <c r="F123" s="37">
        <f t="shared" si="74"/>
        <v>0</v>
      </c>
      <c r="G123" s="37">
        <f t="shared" ca="1" si="75"/>
        <v>0.60000000000000031</v>
      </c>
      <c r="H123" s="37">
        <f t="shared" ca="1" si="76"/>
        <v>0.60000000000000031</v>
      </c>
      <c r="I123" s="37">
        <f t="shared" ca="1" si="77"/>
        <v>0.6</v>
      </c>
      <c r="J123" s="37">
        <f t="shared" ca="1" si="78"/>
        <v>0.59999999999999976</v>
      </c>
      <c r="K123" s="37">
        <f t="shared" ca="1" si="79"/>
        <v>0.59999999999999987</v>
      </c>
      <c r="L123" s="37">
        <f t="shared" ca="1" si="80"/>
        <v>0.6</v>
      </c>
      <c r="M123" s="37">
        <f t="shared" ca="1" si="81"/>
        <v>0.6</v>
      </c>
      <c r="N123" s="56">
        <f t="shared" si="82"/>
        <v>1</v>
      </c>
    </row>
    <row r="124" spans="3:14" x14ac:dyDescent="0.25">
      <c r="C124">
        <f t="shared" si="83"/>
        <v>2022</v>
      </c>
      <c r="D124">
        <f t="shared" si="72"/>
        <v>19</v>
      </c>
      <c r="E124" s="37">
        <f t="shared" si="73"/>
        <v>0</v>
      </c>
      <c r="F124" s="37">
        <f t="shared" si="74"/>
        <v>0</v>
      </c>
      <c r="G124" s="37">
        <f t="shared" ca="1" si="75"/>
        <v>0.60000000000000031</v>
      </c>
      <c r="H124" s="37">
        <f t="shared" ca="1" si="76"/>
        <v>0.60000000000000031</v>
      </c>
      <c r="I124" s="37">
        <f t="shared" ca="1" si="77"/>
        <v>0.6</v>
      </c>
      <c r="J124" s="37">
        <f t="shared" ca="1" si="78"/>
        <v>0.59999999999999976</v>
      </c>
      <c r="K124" s="37">
        <f t="shared" ca="1" si="79"/>
        <v>0.59999999999999987</v>
      </c>
      <c r="L124" s="37">
        <f t="shared" ca="1" si="80"/>
        <v>0.6</v>
      </c>
      <c r="M124" s="37">
        <f t="shared" ca="1" si="81"/>
        <v>0.6</v>
      </c>
      <c r="N124" s="56">
        <f t="shared" si="82"/>
        <v>1</v>
      </c>
    </row>
    <row r="125" spans="3:14" x14ac:dyDescent="0.25">
      <c r="C125">
        <f t="shared" si="83"/>
        <v>2022</v>
      </c>
      <c r="D125">
        <f t="shared" si="72"/>
        <v>20</v>
      </c>
      <c r="E125" s="37">
        <f t="shared" si="73"/>
        <v>0</v>
      </c>
      <c r="F125" s="37">
        <f t="shared" si="74"/>
        <v>0</v>
      </c>
      <c r="G125" s="37">
        <f t="shared" ca="1" si="75"/>
        <v>0.60000000000000031</v>
      </c>
      <c r="H125" s="37">
        <f t="shared" ca="1" si="76"/>
        <v>0.60000000000000031</v>
      </c>
      <c r="I125" s="37">
        <f t="shared" ca="1" si="77"/>
        <v>0.6</v>
      </c>
      <c r="J125" s="37">
        <f t="shared" ca="1" si="78"/>
        <v>0.59999999999999976</v>
      </c>
      <c r="K125" s="37">
        <f t="shared" ca="1" si="79"/>
        <v>0.59999999999999987</v>
      </c>
      <c r="L125" s="37">
        <f t="shared" ca="1" si="80"/>
        <v>0.6</v>
      </c>
      <c r="M125" s="37">
        <f t="shared" ca="1" si="81"/>
        <v>0.6</v>
      </c>
      <c r="N125" s="56">
        <f t="shared" si="82"/>
        <v>1</v>
      </c>
    </row>
    <row r="126" spans="3:14" x14ac:dyDescent="0.25">
      <c r="C126">
        <f t="shared" si="83"/>
        <v>2022</v>
      </c>
      <c r="D126">
        <f t="shared" si="72"/>
        <v>21</v>
      </c>
      <c r="E126" s="37">
        <f t="shared" si="73"/>
        <v>0</v>
      </c>
      <c r="F126" s="37">
        <f t="shared" si="74"/>
        <v>0</v>
      </c>
      <c r="G126" s="37">
        <f t="shared" ca="1" si="75"/>
        <v>0.60000000000000031</v>
      </c>
      <c r="H126" s="37">
        <f t="shared" ca="1" si="76"/>
        <v>0.60000000000000031</v>
      </c>
      <c r="I126" s="37">
        <f t="shared" ca="1" si="77"/>
        <v>0.6</v>
      </c>
      <c r="J126" s="37">
        <f t="shared" ca="1" si="78"/>
        <v>0.59999999999999976</v>
      </c>
      <c r="K126" s="37">
        <f t="shared" ca="1" si="79"/>
        <v>0.59999999999999987</v>
      </c>
      <c r="L126" s="37">
        <f t="shared" ca="1" si="80"/>
        <v>0.6</v>
      </c>
      <c r="M126" s="37">
        <f t="shared" ca="1" si="81"/>
        <v>0.6</v>
      </c>
      <c r="N126" s="56">
        <f t="shared" si="82"/>
        <v>1</v>
      </c>
    </row>
    <row r="127" spans="3:14" x14ac:dyDescent="0.25">
      <c r="C127">
        <f t="shared" si="83"/>
        <v>2022</v>
      </c>
      <c r="D127">
        <f t="shared" si="72"/>
        <v>22</v>
      </c>
      <c r="E127" s="37">
        <f t="shared" si="73"/>
        <v>0</v>
      </c>
      <c r="F127" s="37">
        <f t="shared" si="74"/>
        <v>0</v>
      </c>
      <c r="G127" s="37">
        <f t="shared" ca="1" si="75"/>
        <v>0.60000000000000031</v>
      </c>
      <c r="H127" s="37">
        <f t="shared" ca="1" si="76"/>
        <v>0.60000000000000031</v>
      </c>
      <c r="I127" s="37">
        <f t="shared" ca="1" si="77"/>
        <v>0.6</v>
      </c>
      <c r="J127" s="37">
        <f t="shared" ca="1" si="78"/>
        <v>0.59999999999999976</v>
      </c>
      <c r="K127" s="37">
        <f t="shared" ca="1" si="79"/>
        <v>0.59999999999999987</v>
      </c>
      <c r="L127" s="37">
        <f t="shared" ca="1" si="80"/>
        <v>0.6</v>
      </c>
      <c r="M127" s="37">
        <f t="shared" ca="1" si="81"/>
        <v>0.6</v>
      </c>
      <c r="N127" s="56">
        <f t="shared" si="82"/>
        <v>1</v>
      </c>
    </row>
    <row r="128" spans="3:14" x14ac:dyDescent="0.25">
      <c r="C128">
        <f t="shared" si="83"/>
        <v>2022</v>
      </c>
      <c r="D128">
        <f t="shared" si="72"/>
        <v>23</v>
      </c>
      <c r="E128" s="37">
        <f t="shared" si="73"/>
        <v>0</v>
      </c>
      <c r="F128" s="37">
        <f t="shared" si="74"/>
        <v>0</v>
      </c>
      <c r="G128" s="37">
        <f t="shared" ca="1" si="75"/>
        <v>0.60000000000000031</v>
      </c>
      <c r="H128" s="37">
        <f t="shared" ca="1" si="76"/>
        <v>0.60000000000000031</v>
      </c>
      <c r="I128" s="37">
        <f t="shared" ca="1" si="77"/>
        <v>0.6</v>
      </c>
      <c r="J128" s="37">
        <f t="shared" ca="1" si="78"/>
        <v>0.59999999999999976</v>
      </c>
      <c r="K128" s="37">
        <f t="shared" ca="1" si="79"/>
        <v>0.59999999999999987</v>
      </c>
      <c r="L128" s="37">
        <f t="shared" ca="1" si="80"/>
        <v>0.6</v>
      </c>
      <c r="M128" s="37">
        <f t="shared" ca="1" si="81"/>
        <v>0.6</v>
      </c>
      <c r="N128" s="56">
        <f t="shared" si="82"/>
        <v>1</v>
      </c>
    </row>
    <row r="129" spans="3:14" x14ac:dyDescent="0.25">
      <c r="C129">
        <f t="shared" si="83"/>
        <v>2022</v>
      </c>
      <c r="D129">
        <f t="shared" si="72"/>
        <v>24</v>
      </c>
      <c r="E129" s="37">
        <f t="shared" si="73"/>
        <v>0</v>
      </c>
      <c r="F129" s="37">
        <f t="shared" si="74"/>
        <v>0</v>
      </c>
      <c r="G129" s="37">
        <f t="shared" ca="1" si="75"/>
        <v>0.60000000000000031</v>
      </c>
      <c r="H129" s="37">
        <f t="shared" ca="1" si="76"/>
        <v>0.60000000000000031</v>
      </c>
      <c r="I129" s="37">
        <f t="shared" ca="1" si="77"/>
        <v>0.6</v>
      </c>
      <c r="J129" s="37">
        <f t="shared" ca="1" si="78"/>
        <v>0.59999999999999976</v>
      </c>
      <c r="K129" s="37">
        <f t="shared" ca="1" si="79"/>
        <v>0.59999999999999987</v>
      </c>
      <c r="L129" s="37">
        <f t="shared" ca="1" si="80"/>
        <v>0.6</v>
      </c>
      <c r="M129" s="37">
        <f t="shared" ca="1" si="81"/>
        <v>0.6</v>
      </c>
      <c r="N129" s="56">
        <f t="shared" si="82"/>
        <v>1</v>
      </c>
    </row>
    <row r="130" spans="3:14" x14ac:dyDescent="0.25">
      <c r="C130">
        <f t="shared" si="83"/>
        <v>2022</v>
      </c>
      <c r="D130">
        <f t="shared" si="72"/>
        <v>25</v>
      </c>
      <c r="E130" s="37">
        <f t="shared" si="73"/>
        <v>0</v>
      </c>
      <c r="F130" s="37">
        <f t="shared" si="74"/>
        <v>0</v>
      </c>
      <c r="G130" s="37">
        <f t="shared" ca="1" si="75"/>
        <v>0.60000000000000031</v>
      </c>
      <c r="H130" s="37">
        <f t="shared" ca="1" si="76"/>
        <v>0.60000000000000031</v>
      </c>
      <c r="I130" s="37">
        <f t="shared" ca="1" si="77"/>
        <v>0.6</v>
      </c>
      <c r="J130" s="37">
        <f t="shared" ca="1" si="78"/>
        <v>0.59999999999999976</v>
      </c>
      <c r="K130" s="37">
        <f t="shared" ca="1" si="79"/>
        <v>0.59999999999999987</v>
      </c>
      <c r="L130" s="37">
        <f t="shared" ca="1" si="80"/>
        <v>0.6</v>
      </c>
      <c r="M130" s="37">
        <f t="shared" ca="1" si="81"/>
        <v>0.6</v>
      </c>
      <c r="N130" s="56">
        <f t="shared" si="82"/>
        <v>1</v>
      </c>
    </row>
    <row r="131" spans="3:14" x14ac:dyDescent="0.25">
      <c r="C131">
        <f t="shared" si="83"/>
        <v>2022</v>
      </c>
      <c r="D131">
        <f t="shared" si="72"/>
        <v>26</v>
      </c>
      <c r="E131" s="37">
        <f t="shared" si="73"/>
        <v>0</v>
      </c>
      <c r="F131" s="37">
        <f t="shared" si="74"/>
        <v>0</v>
      </c>
      <c r="G131" s="37">
        <f t="shared" ca="1" si="75"/>
        <v>0.60000000000000031</v>
      </c>
      <c r="H131" s="37">
        <f t="shared" ca="1" si="76"/>
        <v>0.60000000000000031</v>
      </c>
      <c r="I131" s="37">
        <f t="shared" ca="1" si="77"/>
        <v>0.6</v>
      </c>
      <c r="J131" s="37">
        <f t="shared" ca="1" si="78"/>
        <v>0.59999999999999976</v>
      </c>
      <c r="K131" s="37">
        <f t="shared" ca="1" si="79"/>
        <v>0.59999999999999987</v>
      </c>
      <c r="L131" s="37">
        <f t="shared" ca="1" si="80"/>
        <v>0.6</v>
      </c>
      <c r="M131" s="37">
        <f t="shared" ca="1" si="81"/>
        <v>0.6</v>
      </c>
      <c r="N131" s="56">
        <f t="shared" si="82"/>
        <v>1</v>
      </c>
    </row>
    <row r="132" spans="3:14" x14ac:dyDescent="0.25">
      <c r="C132">
        <f t="shared" si="83"/>
        <v>2022</v>
      </c>
      <c r="D132">
        <f t="shared" si="72"/>
        <v>27</v>
      </c>
      <c r="E132" s="37">
        <f t="shared" si="73"/>
        <v>0</v>
      </c>
      <c r="F132" s="37">
        <f t="shared" si="74"/>
        <v>0</v>
      </c>
      <c r="G132" s="37">
        <f t="shared" ca="1" si="75"/>
        <v>0.60000000000000031</v>
      </c>
      <c r="H132" s="37">
        <f t="shared" ca="1" si="76"/>
        <v>0.60000000000000031</v>
      </c>
      <c r="I132" s="37">
        <f t="shared" ca="1" si="77"/>
        <v>0.6</v>
      </c>
      <c r="J132" s="37">
        <f t="shared" ca="1" si="78"/>
        <v>0.59999999999999976</v>
      </c>
      <c r="K132" s="37">
        <f t="shared" ca="1" si="79"/>
        <v>0.59999999999999987</v>
      </c>
      <c r="L132" s="37">
        <f t="shared" ca="1" si="80"/>
        <v>0.6</v>
      </c>
      <c r="M132" s="37">
        <f t="shared" ca="1" si="81"/>
        <v>0.6</v>
      </c>
      <c r="N132" s="56">
        <f t="shared" si="82"/>
        <v>1</v>
      </c>
    </row>
    <row r="133" spans="3:14" x14ac:dyDescent="0.25">
      <c r="C133">
        <f t="shared" si="83"/>
        <v>2022</v>
      </c>
      <c r="D133">
        <f t="shared" si="72"/>
        <v>28</v>
      </c>
      <c r="E133" s="37">
        <f t="shared" si="73"/>
        <v>0</v>
      </c>
      <c r="F133" s="37">
        <f t="shared" si="74"/>
        <v>0</v>
      </c>
      <c r="G133" s="37">
        <f t="shared" ca="1" si="75"/>
        <v>0.60000000000000031</v>
      </c>
      <c r="H133" s="37">
        <f t="shared" ca="1" si="76"/>
        <v>0.60000000000000031</v>
      </c>
      <c r="I133" s="37">
        <f t="shared" ca="1" si="77"/>
        <v>0.6</v>
      </c>
      <c r="J133" s="37">
        <f t="shared" ca="1" si="78"/>
        <v>0.59999999999999976</v>
      </c>
      <c r="K133" s="37">
        <f t="shared" ca="1" si="79"/>
        <v>0.59999999999999987</v>
      </c>
      <c r="L133" s="37">
        <f t="shared" ca="1" si="80"/>
        <v>0.6</v>
      </c>
      <c r="M133" s="37">
        <f t="shared" ca="1" si="81"/>
        <v>0.6</v>
      </c>
      <c r="N133" s="56">
        <f t="shared" si="82"/>
        <v>1</v>
      </c>
    </row>
    <row r="134" spans="3:14" x14ac:dyDescent="0.25">
      <c r="C134">
        <f t="shared" si="83"/>
        <v>2022</v>
      </c>
      <c r="D134">
        <f t="shared" si="72"/>
        <v>29</v>
      </c>
      <c r="E134" s="37">
        <f t="shared" si="73"/>
        <v>0</v>
      </c>
      <c r="F134" s="37">
        <f t="shared" si="74"/>
        <v>0</v>
      </c>
      <c r="G134" s="37">
        <f t="shared" ca="1" si="75"/>
        <v>0.60000000000000031</v>
      </c>
      <c r="H134" s="37">
        <f t="shared" ca="1" si="76"/>
        <v>0.60000000000000031</v>
      </c>
      <c r="I134" s="37">
        <f t="shared" ca="1" si="77"/>
        <v>0.6</v>
      </c>
      <c r="J134" s="37">
        <f t="shared" ca="1" si="78"/>
        <v>0.59999999999999976</v>
      </c>
      <c r="K134" s="37">
        <f t="shared" ca="1" si="79"/>
        <v>0.59999999999999987</v>
      </c>
      <c r="L134" s="37">
        <f t="shared" ca="1" si="80"/>
        <v>0.6</v>
      </c>
      <c r="M134" s="37">
        <f t="shared" ca="1" si="81"/>
        <v>0.6</v>
      </c>
      <c r="N134" s="56">
        <f t="shared" si="82"/>
        <v>1</v>
      </c>
    </row>
    <row r="135" spans="3:14" x14ac:dyDescent="0.25">
      <c r="C135">
        <f t="shared" si="83"/>
        <v>2022</v>
      </c>
      <c r="D135">
        <f t="shared" si="72"/>
        <v>30</v>
      </c>
      <c r="E135" s="37">
        <f t="shared" si="73"/>
        <v>0</v>
      </c>
      <c r="F135" s="37">
        <f t="shared" si="74"/>
        <v>0</v>
      </c>
      <c r="G135" s="37">
        <f t="shared" ca="1" si="75"/>
        <v>0.60000000000000031</v>
      </c>
      <c r="H135" s="37">
        <f t="shared" ca="1" si="76"/>
        <v>0.60000000000000031</v>
      </c>
      <c r="I135" s="37">
        <f t="shared" ca="1" si="77"/>
        <v>0.6</v>
      </c>
      <c r="J135" s="37">
        <f t="shared" ca="1" si="78"/>
        <v>0.59999999999999976</v>
      </c>
      <c r="K135" s="37">
        <f t="shared" ca="1" si="79"/>
        <v>0.59999999999999987</v>
      </c>
      <c r="L135" s="37">
        <f t="shared" ca="1" si="80"/>
        <v>0.6</v>
      </c>
      <c r="M135" s="37">
        <f t="shared" ca="1" si="81"/>
        <v>0.6</v>
      </c>
      <c r="N135" s="56">
        <f t="shared" si="82"/>
        <v>1</v>
      </c>
    </row>
    <row r="136" spans="3:14" x14ac:dyDescent="0.25">
      <c r="C136">
        <f t="shared" si="83"/>
        <v>2022</v>
      </c>
      <c r="D136">
        <f t="shared" si="72"/>
        <v>31</v>
      </c>
      <c r="E136" s="37">
        <f t="shared" si="73"/>
        <v>0</v>
      </c>
      <c r="F136" s="37">
        <f t="shared" si="74"/>
        <v>0</v>
      </c>
      <c r="G136" s="37">
        <f t="shared" ca="1" si="75"/>
        <v>0.60000000000000031</v>
      </c>
      <c r="H136" s="37">
        <f t="shared" ca="1" si="76"/>
        <v>0.60000000000000031</v>
      </c>
      <c r="I136" s="37">
        <f t="shared" ca="1" si="77"/>
        <v>0.6</v>
      </c>
      <c r="J136" s="37">
        <f t="shared" ca="1" si="78"/>
        <v>0.59999999999999976</v>
      </c>
      <c r="K136" s="37">
        <f t="shared" ca="1" si="79"/>
        <v>0.59999999999999987</v>
      </c>
      <c r="L136" s="37">
        <f t="shared" ca="1" si="80"/>
        <v>0.6</v>
      </c>
      <c r="M136" s="37">
        <f t="shared" ca="1" si="81"/>
        <v>0.6</v>
      </c>
      <c r="N136" s="56">
        <f t="shared" si="82"/>
        <v>1</v>
      </c>
    </row>
    <row r="137" spans="3:14" x14ac:dyDescent="0.25">
      <c r="C137">
        <f t="shared" si="83"/>
        <v>2022</v>
      </c>
      <c r="D137">
        <f t="shared" si="72"/>
        <v>32</v>
      </c>
      <c r="E137" s="37">
        <f t="shared" si="73"/>
        <v>0</v>
      </c>
      <c r="F137" s="37">
        <f t="shared" si="74"/>
        <v>0</v>
      </c>
      <c r="G137" s="37">
        <f t="shared" ca="1" si="75"/>
        <v>0.60000000000000031</v>
      </c>
      <c r="H137" s="37">
        <f t="shared" ca="1" si="76"/>
        <v>0.60000000000000031</v>
      </c>
      <c r="I137" s="37">
        <f t="shared" ca="1" si="77"/>
        <v>0.6</v>
      </c>
      <c r="J137" s="37">
        <f t="shared" ca="1" si="78"/>
        <v>0.59999999999999976</v>
      </c>
      <c r="K137" s="37">
        <f t="shared" ca="1" si="79"/>
        <v>0.59999999999999987</v>
      </c>
      <c r="L137" s="37">
        <f t="shared" ca="1" si="80"/>
        <v>0.6</v>
      </c>
      <c r="M137" s="37">
        <f t="shared" ca="1" si="81"/>
        <v>0.6</v>
      </c>
      <c r="N137" s="56">
        <f t="shared" si="82"/>
        <v>1</v>
      </c>
    </row>
    <row r="138" spans="3:14" x14ac:dyDescent="0.25">
      <c r="C138">
        <f t="shared" si="83"/>
        <v>2022</v>
      </c>
      <c r="D138">
        <f t="shared" si="72"/>
        <v>33</v>
      </c>
      <c r="E138" s="37">
        <f t="shared" si="73"/>
        <v>0</v>
      </c>
      <c r="F138" s="37">
        <f t="shared" si="74"/>
        <v>0</v>
      </c>
      <c r="G138" s="37">
        <f t="shared" ca="1" si="75"/>
        <v>0.60000000000000031</v>
      </c>
      <c r="H138" s="37">
        <f t="shared" ca="1" si="76"/>
        <v>0.60000000000000031</v>
      </c>
      <c r="I138" s="37">
        <f t="shared" ca="1" si="77"/>
        <v>0.6</v>
      </c>
      <c r="J138" s="37">
        <f t="shared" ca="1" si="78"/>
        <v>0.59999999999999976</v>
      </c>
      <c r="K138" s="37">
        <f t="shared" ca="1" si="79"/>
        <v>0.59999999999999987</v>
      </c>
      <c r="L138" s="37">
        <f t="shared" ca="1" si="80"/>
        <v>0.6</v>
      </c>
      <c r="M138" s="37">
        <f t="shared" ca="1" si="81"/>
        <v>0.6</v>
      </c>
      <c r="N138" s="56">
        <f t="shared" si="82"/>
        <v>1</v>
      </c>
    </row>
    <row r="139" spans="3:14" x14ac:dyDescent="0.25">
      <c r="C139">
        <f t="shared" si="83"/>
        <v>2022</v>
      </c>
      <c r="D139">
        <f t="shared" si="72"/>
        <v>34</v>
      </c>
      <c r="E139" s="37">
        <f t="shared" si="73"/>
        <v>0</v>
      </c>
      <c r="F139" s="37">
        <f t="shared" si="74"/>
        <v>0</v>
      </c>
      <c r="G139" s="37">
        <f t="shared" ca="1" si="75"/>
        <v>0.60000000000000031</v>
      </c>
      <c r="H139" s="37">
        <f t="shared" ca="1" si="76"/>
        <v>0.60000000000000031</v>
      </c>
      <c r="I139" s="37">
        <f t="shared" ca="1" si="77"/>
        <v>0.6</v>
      </c>
      <c r="J139" s="37">
        <f t="shared" ca="1" si="78"/>
        <v>0.59999999999999976</v>
      </c>
      <c r="K139" s="37">
        <f t="shared" ca="1" si="79"/>
        <v>0.59999999999999987</v>
      </c>
      <c r="L139" s="37">
        <f t="shared" ca="1" si="80"/>
        <v>0.6</v>
      </c>
      <c r="M139" s="37">
        <f t="shared" ca="1" si="81"/>
        <v>0.6</v>
      </c>
      <c r="N139" s="56">
        <f t="shared" si="82"/>
        <v>1</v>
      </c>
    </row>
    <row r="140" spans="3:14" x14ac:dyDescent="0.25">
      <c r="C140">
        <f t="shared" si="83"/>
        <v>2022</v>
      </c>
      <c r="D140">
        <f t="shared" si="72"/>
        <v>35</v>
      </c>
      <c r="E140" s="37">
        <f t="shared" si="73"/>
        <v>0</v>
      </c>
      <c r="F140" s="37">
        <f t="shared" si="74"/>
        <v>0</v>
      </c>
      <c r="G140" s="37">
        <f t="shared" ca="1" si="75"/>
        <v>0.60000000000000031</v>
      </c>
      <c r="H140" s="37">
        <f t="shared" ca="1" si="76"/>
        <v>0.60000000000000031</v>
      </c>
      <c r="I140" s="37">
        <f t="shared" ca="1" si="77"/>
        <v>0.6</v>
      </c>
      <c r="J140" s="37">
        <f t="shared" ca="1" si="78"/>
        <v>0.59999999999999976</v>
      </c>
      <c r="K140" s="37">
        <f t="shared" ca="1" si="79"/>
        <v>0.59999999999999987</v>
      </c>
      <c r="L140" s="37">
        <f t="shared" ca="1" si="80"/>
        <v>0.6</v>
      </c>
      <c r="M140" s="37">
        <f t="shared" ca="1" si="81"/>
        <v>0.6</v>
      </c>
      <c r="N140" s="56">
        <f t="shared" si="82"/>
        <v>1</v>
      </c>
    </row>
    <row r="141" spans="3:14" x14ac:dyDescent="0.25">
      <c r="C141">
        <f t="shared" si="83"/>
        <v>2022</v>
      </c>
      <c r="D141">
        <f t="shared" si="72"/>
        <v>36</v>
      </c>
      <c r="E141" s="37">
        <f t="shared" si="73"/>
        <v>0</v>
      </c>
      <c r="F141" s="37">
        <f t="shared" si="74"/>
        <v>0</v>
      </c>
      <c r="G141" s="37">
        <f t="shared" ca="1" si="75"/>
        <v>0.60000000000000031</v>
      </c>
      <c r="H141" s="37">
        <f t="shared" ca="1" si="76"/>
        <v>0.60000000000000031</v>
      </c>
      <c r="I141" s="37">
        <f t="shared" ca="1" si="77"/>
        <v>0.6</v>
      </c>
      <c r="J141" s="37">
        <f t="shared" ca="1" si="78"/>
        <v>0.59999999999999976</v>
      </c>
      <c r="K141" s="37">
        <f t="shared" ca="1" si="79"/>
        <v>0.59999999999999987</v>
      </c>
      <c r="L141" s="37">
        <f t="shared" ca="1" si="80"/>
        <v>0.6</v>
      </c>
      <c r="M141" s="37">
        <f t="shared" ca="1" si="81"/>
        <v>0.6</v>
      </c>
      <c r="N141" s="56">
        <f t="shared" si="82"/>
        <v>1</v>
      </c>
    </row>
    <row r="142" spans="3:14" x14ac:dyDescent="0.25">
      <c r="C142">
        <f t="shared" si="83"/>
        <v>2022</v>
      </c>
      <c r="D142">
        <f t="shared" si="72"/>
        <v>37</v>
      </c>
      <c r="E142" s="37">
        <f t="shared" si="73"/>
        <v>0</v>
      </c>
      <c r="F142" s="37">
        <f t="shared" si="74"/>
        <v>0</v>
      </c>
      <c r="G142" s="37">
        <f t="shared" ca="1" si="75"/>
        <v>0.60000000000000031</v>
      </c>
      <c r="H142" s="37">
        <f t="shared" ca="1" si="76"/>
        <v>0.60000000000000031</v>
      </c>
      <c r="I142" s="37">
        <f t="shared" ca="1" si="77"/>
        <v>0.6</v>
      </c>
      <c r="J142" s="37">
        <f t="shared" ca="1" si="78"/>
        <v>0.59999999999999976</v>
      </c>
      <c r="K142" s="37">
        <f t="shared" ca="1" si="79"/>
        <v>0.59999999999999987</v>
      </c>
      <c r="L142" s="37">
        <f t="shared" ca="1" si="80"/>
        <v>0.6</v>
      </c>
      <c r="M142" s="37">
        <f t="shared" ca="1" si="81"/>
        <v>0.6</v>
      </c>
      <c r="N142" s="56">
        <f t="shared" si="82"/>
        <v>1</v>
      </c>
    </row>
    <row r="143" spans="3:14" x14ac:dyDescent="0.25">
      <c r="C143">
        <f t="shared" si="83"/>
        <v>2022</v>
      </c>
      <c r="D143">
        <f t="shared" si="72"/>
        <v>38</v>
      </c>
      <c r="E143" s="37">
        <f t="shared" si="73"/>
        <v>0</v>
      </c>
      <c r="F143" s="37">
        <f t="shared" si="74"/>
        <v>0</v>
      </c>
      <c r="G143" s="37">
        <f t="shared" ca="1" si="75"/>
        <v>0.60000000000000031</v>
      </c>
      <c r="H143" s="37">
        <f t="shared" ca="1" si="76"/>
        <v>0.60000000000000031</v>
      </c>
      <c r="I143" s="37">
        <f t="shared" ca="1" si="77"/>
        <v>0.6</v>
      </c>
      <c r="J143" s="37">
        <f t="shared" ca="1" si="78"/>
        <v>0.59999999999999976</v>
      </c>
      <c r="K143" s="37">
        <f t="shared" ca="1" si="79"/>
        <v>0.59999999999999987</v>
      </c>
      <c r="L143" s="37">
        <f t="shared" ca="1" si="80"/>
        <v>0.6</v>
      </c>
      <c r="M143" s="37">
        <f t="shared" ca="1" si="81"/>
        <v>0.6</v>
      </c>
      <c r="N143" s="56">
        <f t="shared" si="82"/>
        <v>1</v>
      </c>
    </row>
    <row r="144" spans="3:14" x14ac:dyDescent="0.25">
      <c r="C144">
        <f t="shared" si="83"/>
        <v>2022</v>
      </c>
      <c r="D144">
        <f t="shared" si="72"/>
        <v>39</v>
      </c>
      <c r="E144" s="37">
        <f t="shared" si="73"/>
        <v>0</v>
      </c>
      <c r="F144" s="37">
        <f t="shared" si="74"/>
        <v>0</v>
      </c>
      <c r="G144" s="37">
        <f t="shared" ca="1" si="75"/>
        <v>0.60000000000000031</v>
      </c>
      <c r="H144" s="37">
        <f t="shared" ca="1" si="76"/>
        <v>0.60000000000000031</v>
      </c>
      <c r="I144" s="37">
        <f t="shared" ca="1" si="77"/>
        <v>0.6</v>
      </c>
      <c r="J144" s="37">
        <f t="shared" ca="1" si="78"/>
        <v>0.59999999999999976</v>
      </c>
      <c r="K144" s="37">
        <f t="shared" ca="1" si="79"/>
        <v>0.59999999999999987</v>
      </c>
      <c r="L144" s="37">
        <f t="shared" ca="1" si="80"/>
        <v>0.6</v>
      </c>
      <c r="M144" s="37">
        <f t="shared" ca="1" si="81"/>
        <v>0.6</v>
      </c>
      <c r="N144" s="56">
        <f t="shared" si="82"/>
        <v>1</v>
      </c>
    </row>
    <row r="145" spans="3:14" x14ac:dyDescent="0.25">
      <c r="C145">
        <f t="shared" si="83"/>
        <v>2022</v>
      </c>
      <c r="D145">
        <f t="shared" si="72"/>
        <v>40</v>
      </c>
      <c r="E145" s="37">
        <f t="shared" si="73"/>
        <v>0</v>
      </c>
      <c r="F145" s="37">
        <f t="shared" si="74"/>
        <v>0</v>
      </c>
      <c r="G145" s="37">
        <f t="shared" ca="1" si="75"/>
        <v>0.60000000000000031</v>
      </c>
      <c r="H145" s="37">
        <f t="shared" ca="1" si="76"/>
        <v>0.60000000000000031</v>
      </c>
      <c r="I145" s="37">
        <f t="shared" ca="1" si="77"/>
        <v>0.6</v>
      </c>
      <c r="J145" s="37">
        <f t="shared" ca="1" si="78"/>
        <v>0.59999999999999976</v>
      </c>
      <c r="K145" s="37">
        <f t="shared" ca="1" si="79"/>
        <v>0.59999999999999987</v>
      </c>
      <c r="L145" s="37">
        <f t="shared" ca="1" si="80"/>
        <v>0.6</v>
      </c>
      <c r="M145" s="37">
        <f t="shared" ca="1" si="81"/>
        <v>0.6</v>
      </c>
      <c r="N145" s="56">
        <f t="shared" si="82"/>
        <v>1</v>
      </c>
    </row>
    <row r="146" spans="3:14" x14ac:dyDescent="0.25">
      <c r="C146">
        <f t="shared" si="83"/>
        <v>2022</v>
      </c>
      <c r="D146">
        <f t="shared" si="72"/>
        <v>41</v>
      </c>
      <c r="E146" s="37">
        <f t="shared" si="73"/>
        <v>0</v>
      </c>
      <c r="F146" s="37">
        <f t="shared" si="74"/>
        <v>0</v>
      </c>
      <c r="G146" s="37">
        <f t="shared" ca="1" si="75"/>
        <v>0.60000000000000031</v>
      </c>
      <c r="H146" s="37">
        <f t="shared" ca="1" si="76"/>
        <v>0.60000000000000031</v>
      </c>
      <c r="I146" s="37">
        <f t="shared" ca="1" si="77"/>
        <v>0.6</v>
      </c>
      <c r="J146" s="37">
        <f t="shared" ca="1" si="78"/>
        <v>0.59999999999999976</v>
      </c>
      <c r="K146" s="37">
        <f t="shared" ca="1" si="79"/>
        <v>0.59999999999999987</v>
      </c>
      <c r="L146" s="37">
        <f t="shared" ca="1" si="80"/>
        <v>0.6</v>
      </c>
      <c r="M146" s="37">
        <f t="shared" ca="1" si="81"/>
        <v>0.6</v>
      </c>
      <c r="N146" s="56">
        <f t="shared" si="82"/>
        <v>1</v>
      </c>
    </row>
    <row r="147" spans="3:14" x14ac:dyDescent="0.25">
      <c r="C147">
        <f t="shared" si="83"/>
        <v>2022</v>
      </c>
      <c r="D147">
        <f t="shared" si="72"/>
        <v>42</v>
      </c>
      <c r="E147" s="37">
        <f t="shared" si="73"/>
        <v>0</v>
      </c>
      <c r="F147" s="37">
        <f t="shared" si="74"/>
        <v>0</v>
      </c>
      <c r="G147" s="37">
        <f t="shared" ca="1" si="75"/>
        <v>0.60000000000000031</v>
      </c>
      <c r="H147" s="37">
        <f t="shared" ca="1" si="76"/>
        <v>0.60000000000000031</v>
      </c>
      <c r="I147" s="37">
        <f t="shared" ca="1" si="77"/>
        <v>0.6</v>
      </c>
      <c r="J147" s="37">
        <f t="shared" ca="1" si="78"/>
        <v>0.59999999999999976</v>
      </c>
      <c r="K147" s="37">
        <f t="shared" ca="1" si="79"/>
        <v>0.59999999999999987</v>
      </c>
      <c r="L147" s="37">
        <f t="shared" ca="1" si="80"/>
        <v>0.6</v>
      </c>
      <c r="M147" s="37">
        <f t="shared" ca="1" si="81"/>
        <v>0.6</v>
      </c>
      <c r="N147" s="56">
        <f t="shared" si="82"/>
        <v>1</v>
      </c>
    </row>
    <row r="148" spans="3:14" x14ac:dyDescent="0.25">
      <c r="C148">
        <f t="shared" si="83"/>
        <v>2022</v>
      </c>
      <c r="D148">
        <f t="shared" si="72"/>
        <v>43</v>
      </c>
      <c r="E148" s="37">
        <f t="shared" si="73"/>
        <v>0</v>
      </c>
      <c r="F148" s="37">
        <f t="shared" si="74"/>
        <v>0</v>
      </c>
      <c r="G148" s="37">
        <f t="shared" ca="1" si="75"/>
        <v>0.60000000000000031</v>
      </c>
      <c r="H148" s="37">
        <f t="shared" ca="1" si="76"/>
        <v>0.60000000000000031</v>
      </c>
      <c r="I148" s="37">
        <f t="shared" ca="1" si="77"/>
        <v>0.6</v>
      </c>
      <c r="J148" s="37">
        <f t="shared" ca="1" si="78"/>
        <v>0.59999999999999976</v>
      </c>
      <c r="K148" s="37">
        <f t="shared" ca="1" si="79"/>
        <v>0.59999999999999987</v>
      </c>
      <c r="L148" s="37">
        <f t="shared" ca="1" si="80"/>
        <v>0.6</v>
      </c>
      <c r="M148" s="37">
        <f t="shared" ca="1" si="81"/>
        <v>0.6</v>
      </c>
      <c r="N148" s="56">
        <f t="shared" si="82"/>
        <v>1</v>
      </c>
    </row>
    <row r="149" spans="3:14" x14ac:dyDescent="0.25">
      <c r="C149">
        <f t="shared" si="83"/>
        <v>2022</v>
      </c>
      <c r="D149">
        <f t="shared" si="72"/>
        <v>44</v>
      </c>
      <c r="E149" s="37">
        <f t="shared" si="73"/>
        <v>0</v>
      </c>
      <c r="F149" s="37">
        <f t="shared" si="74"/>
        <v>0</v>
      </c>
      <c r="G149" s="37">
        <f t="shared" ca="1" si="75"/>
        <v>0.60000000000000031</v>
      </c>
      <c r="H149" s="37">
        <f t="shared" ca="1" si="76"/>
        <v>0.60000000000000031</v>
      </c>
      <c r="I149" s="37">
        <f t="shared" ca="1" si="77"/>
        <v>0.6</v>
      </c>
      <c r="J149" s="37">
        <f t="shared" ca="1" si="78"/>
        <v>0.59999999999999976</v>
      </c>
      <c r="K149" s="37">
        <f t="shared" ca="1" si="79"/>
        <v>0.59999999999999987</v>
      </c>
      <c r="L149" s="37">
        <f t="shared" ca="1" si="80"/>
        <v>0.6</v>
      </c>
      <c r="M149" s="37">
        <f t="shared" ca="1" si="81"/>
        <v>0.6</v>
      </c>
      <c r="N149" s="56">
        <f t="shared" si="82"/>
        <v>1</v>
      </c>
    </row>
    <row r="150" spans="3:14" x14ac:dyDescent="0.25">
      <c r="C150">
        <f t="shared" si="83"/>
        <v>2022</v>
      </c>
      <c r="D150">
        <f t="shared" si="72"/>
        <v>45</v>
      </c>
      <c r="E150" s="37">
        <f t="shared" si="73"/>
        <v>0</v>
      </c>
      <c r="F150" s="37">
        <f t="shared" si="74"/>
        <v>0</v>
      </c>
      <c r="G150" s="37">
        <f t="shared" ca="1" si="75"/>
        <v>0.60000000000000031</v>
      </c>
      <c r="H150" s="37">
        <f t="shared" ca="1" si="76"/>
        <v>0.60000000000000031</v>
      </c>
      <c r="I150" s="37">
        <f t="shared" ca="1" si="77"/>
        <v>0.6</v>
      </c>
      <c r="J150" s="37">
        <f t="shared" ca="1" si="78"/>
        <v>0.59999999999999976</v>
      </c>
      <c r="K150" s="37">
        <f t="shared" ca="1" si="79"/>
        <v>0.59999999999999987</v>
      </c>
      <c r="L150" s="37">
        <f t="shared" ca="1" si="80"/>
        <v>0.6</v>
      </c>
      <c r="M150" s="37">
        <f t="shared" ca="1" si="81"/>
        <v>0.6</v>
      </c>
      <c r="N150" s="56">
        <f t="shared" si="82"/>
        <v>1</v>
      </c>
    </row>
    <row r="151" spans="3:14" x14ac:dyDescent="0.25">
      <c r="C151">
        <f t="shared" si="83"/>
        <v>2022</v>
      </c>
      <c r="D151">
        <f t="shared" si="72"/>
        <v>46</v>
      </c>
      <c r="E151" s="37">
        <f t="shared" si="73"/>
        <v>0</v>
      </c>
      <c r="F151" s="37">
        <f t="shared" si="74"/>
        <v>0</v>
      </c>
      <c r="G151" s="37">
        <f t="shared" ca="1" si="75"/>
        <v>0.60000000000000031</v>
      </c>
      <c r="H151" s="37">
        <f t="shared" ca="1" si="76"/>
        <v>0.60000000000000031</v>
      </c>
      <c r="I151" s="37">
        <f t="shared" ca="1" si="77"/>
        <v>0.6</v>
      </c>
      <c r="J151" s="37">
        <f t="shared" ca="1" si="78"/>
        <v>0.59999999999999976</v>
      </c>
      <c r="K151" s="37">
        <f t="shared" ca="1" si="79"/>
        <v>0.59999999999999987</v>
      </c>
      <c r="L151" s="37">
        <f t="shared" ca="1" si="80"/>
        <v>0.6</v>
      </c>
      <c r="M151" s="37">
        <f t="shared" ca="1" si="81"/>
        <v>0.6</v>
      </c>
      <c r="N151" s="56">
        <f t="shared" si="82"/>
        <v>1</v>
      </c>
    </row>
    <row r="152" spans="3:14" x14ac:dyDescent="0.25">
      <c r="C152">
        <f t="shared" si="83"/>
        <v>2022</v>
      </c>
      <c r="D152">
        <f t="shared" si="72"/>
        <v>47</v>
      </c>
      <c r="E152" s="37">
        <f t="shared" si="73"/>
        <v>0</v>
      </c>
      <c r="F152" s="37">
        <f t="shared" si="74"/>
        <v>0</v>
      </c>
      <c r="G152" s="37">
        <f t="shared" ca="1" si="75"/>
        <v>0.60000000000000031</v>
      </c>
      <c r="H152" s="37">
        <f t="shared" ca="1" si="76"/>
        <v>0.60000000000000031</v>
      </c>
      <c r="I152" s="37">
        <f t="shared" ca="1" si="77"/>
        <v>0.6</v>
      </c>
      <c r="J152" s="37">
        <f t="shared" ca="1" si="78"/>
        <v>0.59999999999999976</v>
      </c>
      <c r="K152" s="37">
        <f t="shared" ca="1" si="79"/>
        <v>0.59999999999999987</v>
      </c>
      <c r="L152" s="37">
        <f t="shared" ca="1" si="80"/>
        <v>0.6</v>
      </c>
      <c r="M152" s="37">
        <f t="shared" ca="1" si="81"/>
        <v>0.6</v>
      </c>
      <c r="N152" s="56">
        <f t="shared" si="82"/>
        <v>1</v>
      </c>
    </row>
    <row r="153" spans="3:14" x14ac:dyDescent="0.25">
      <c r="C153">
        <f t="shared" si="83"/>
        <v>2022</v>
      </c>
      <c r="D153">
        <f t="shared" si="72"/>
        <v>48</v>
      </c>
      <c r="E153" s="37">
        <f t="shared" si="73"/>
        <v>0</v>
      </c>
      <c r="F153" s="37">
        <f t="shared" si="74"/>
        <v>0</v>
      </c>
      <c r="G153" s="37">
        <f t="shared" ca="1" si="75"/>
        <v>0.60000000000000031</v>
      </c>
      <c r="H153" s="37">
        <f t="shared" ca="1" si="76"/>
        <v>0.60000000000000031</v>
      </c>
      <c r="I153" s="37">
        <f t="shared" ca="1" si="77"/>
        <v>0.6</v>
      </c>
      <c r="J153" s="37">
        <f t="shared" ca="1" si="78"/>
        <v>0.59999999999999976</v>
      </c>
      <c r="K153" s="37">
        <f t="shared" ca="1" si="79"/>
        <v>0.59999999999999987</v>
      </c>
      <c r="L153" s="37">
        <f t="shared" ca="1" si="80"/>
        <v>0.6</v>
      </c>
      <c r="M153" s="37">
        <f t="shared" ca="1" si="81"/>
        <v>0.6</v>
      </c>
      <c r="N153" s="56">
        <f t="shared" si="82"/>
        <v>1</v>
      </c>
    </row>
    <row r="154" spans="3:14" x14ac:dyDescent="0.25">
      <c r="C154">
        <f t="shared" si="83"/>
        <v>2022</v>
      </c>
      <c r="D154">
        <f t="shared" si="72"/>
        <v>49</v>
      </c>
      <c r="E154" s="37">
        <f t="shared" si="73"/>
        <v>0</v>
      </c>
      <c r="F154" s="37">
        <f t="shared" si="74"/>
        <v>0</v>
      </c>
      <c r="G154" s="37">
        <f t="shared" ca="1" si="75"/>
        <v>0.60000000000000031</v>
      </c>
      <c r="H154" s="37">
        <f t="shared" ca="1" si="76"/>
        <v>0.60000000000000031</v>
      </c>
      <c r="I154" s="37">
        <f t="shared" ca="1" si="77"/>
        <v>0.6</v>
      </c>
      <c r="J154" s="37">
        <f t="shared" ca="1" si="78"/>
        <v>0.59999999999999976</v>
      </c>
      <c r="K154" s="37">
        <f t="shared" ca="1" si="79"/>
        <v>0.59999999999999987</v>
      </c>
      <c r="L154" s="37">
        <f t="shared" ca="1" si="80"/>
        <v>0.6</v>
      </c>
      <c r="M154" s="37">
        <f t="shared" ca="1" si="81"/>
        <v>0.6</v>
      </c>
      <c r="N154" s="56">
        <f t="shared" si="82"/>
        <v>1</v>
      </c>
    </row>
    <row r="155" spans="3:14" x14ac:dyDescent="0.25">
      <c r="C155">
        <f t="shared" si="83"/>
        <v>2022</v>
      </c>
      <c r="D155">
        <f t="shared" si="72"/>
        <v>50</v>
      </c>
      <c r="E155" s="37">
        <f t="shared" si="73"/>
        <v>0</v>
      </c>
      <c r="F155" s="37">
        <f t="shared" si="74"/>
        <v>0</v>
      </c>
      <c r="G155" s="37">
        <f t="shared" ca="1" si="75"/>
        <v>0.60000000000000031</v>
      </c>
      <c r="H155" s="37">
        <f t="shared" ca="1" si="76"/>
        <v>0.60000000000000031</v>
      </c>
      <c r="I155" s="37">
        <f t="shared" ca="1" si="77"/>
        <v>0.6</v>
      </c>
      <c r="J155" s="37">
        <f t="shared" ca="1" si="78"/>
        <v>0.59999999999999976</v>
      </c>
      <c r="K155" s="37">
        <f t="shared" ca="1" si="79"/>
        <v>0.59999999999999987</v>
      </c>
      <c r="L155" s="37">
        <f t="shared" ca="1" si="80"/>
        <v>0.6</v>
      </c>
      <c r="M155" s="37">
        <f t="shared" ca="1" si="81"/>
        <v>0.6</v>
      </c>
      <c r="N155" s="56">
        <f t="shared" si="82"/>
        <v>1</v>
      </c>
    </row>
    <row r="156" spans="3:14" x14ac:dyDescent="0.25">
      <c r="C156">
        <f t="shared" si="83"/>
        <v>2022</v>
      </c>
      <c r="D156">
        <f t="shared" si="72"/>
        <v>51</v>
      </c>
      <c r="E156" s="37">
        <f t="shared" si="73"/>
        <v>0</v>
      </c>
      <c r="F156" s="37">
        <f t="shared" si="74"/>
        <v>0</v>
      </c>
      <c r="G156" s="37">
        <f t="shared" ca="1" si="75"/>
        <v>0.60000000000000031</v>
      </c>
      <c r="H156" s="37">
        <f t="shared" ca="1" si="76"/>
        <v>0.60000000000000031</v>
      </c>
      <c r="I156" s="37">
        <f t="shared" ca="1" si="77"/>
        <v>0.6</v>
      </c>
      <c r="J156" s="37">
        <f t="shared" ca="1" si="78"/>
        <v>0.59999999999999976</v>
      </c>
      <c r="K156" s="37">
        <f t="shared" ca="1" si="79"/>
        <v>0.59999999999999987</v>
      </c>
      <c r="L156" s="37">
        <f t="shared" ca="1" si="80"/>
        <v>0.6</v>
      </c>
      <c r="M156" s="37">
        <f t="shared" ca="1" si="81"/>
        <v>0.6</v>
      </c>
      <c r="N156" s="56">
        <f t="shared" si="82"/>
        <v>1</v>
      </c>
    </row>
    <row r="157" spans="3:14" x14ac:dyDescent="0.25">
      <c r="C157">
        <f t="shared" si="83"/>
        <v>2022</v>
      </c>
      <c r="D157">
        <f t="shared" si="72"/>
        <v>52</v>
      </c>
      <c r="E157" s="37">
        <f t="shared" si="73"/>
        <v>0</v>
      </c>
      <c r="F157" s="37">
        <f t="shared" si="74"/>
        <v>0</v>
      </c>
      <c r="G157" s="37">
        <f t="shared" ca="1" si="75"/>
        <v>0.60000000000000031</v>
      </c>
      <c r="H157" s="37">
        <f t="shared" ca="1" si="76"/>
        <v>0.60000000000000031</v>
      </c>
      <c r="I157" s="37">
        <f t="shared" ca="1" si="77"/>
        <v>0.6</v>
      </c>
      <c r="J157" s="37">
        <f t="shared" ca="1" si="78"/>
        <v>0.59999999999999976</v>
      </c>
      <c r="K157" s="37">
        <f t="shared" ca="1" si="79"/>
        <v>0.59999999999999987</v>
      </c>
      <c r="L157" s="37">
        <f t="shared" ca="1" si="80"/>
        <v>0.6</v>
      </c>
      <c r="M157" s="37">
        <f t="shared" ca="1" si="81"/>
        <v>0.6</v>
      </c>
      <c r="N157" s="56">
        <f t="shared" si="82"/>
        <v>1</v>
      </c>
    </row>
    <row r="158" spans="3:14" x14ac:dyDescent="0.25">
      <c r="C158">
        <f t="shared" ref="C158" si="84">+C157+1</f>
        <v>2023</v>
      </c>
      <c r="D158">
        <f t="shared" si="72"/>
        <v>1</v>
      </c>
      <c r="E158" s="37">
        <f t="shared" si="73"/>
        <v>0</v>
      </c>
      <c r="F158" s="37">
        <f t="shared" si="74"/>
        <v>0</v>
      </c>
      <c r="G158" s="37">
        <f t="shared" ca="1" si="75"/>
        <v>0.60000000000000031</v>
      </c>
      <c r="H158" s="37">
        <f t="shared" ca="1" si="76"/>
        <v>0.60000000000000031</v>
      </c>
      <c r="I158" s="37">
        <f t="shared" ca="1" si="77"/>
        <v>0.6</v>
      </c>
      <c r="J158" s="37">
        <f t="shared" ca="1" si="78"/>
        <v>0.59999999999999976</v>
      </c>
      <c r="K158" s="37">
        <f t="shared" ca="1" si="79"/>
        <v>0.59999999999999987</v>
      </c>
      <c r="L158" s="37">
        <f t="shared" ca="1" si="80"/>
        <v>0.6</v>
      </c>
      <c r="M158" s="37">
        <f t="shared" ca="1" si="81"/>
        <v>0.6</v>
      </c>
      <c r="N158" s="56">
        <f t="shared" si="82"/>
        <v>1</v>
      </c>
    </row>
    <row r="159" spans="3:14" x14ac:dyDescent="0.25">
      <c r="C159">
        <f>+C158</f>
        <v>2023</v>
      </c>
      <c r="D159">
        <f t="shared" si="72"/>
        <v>2</v>
      </c>
      <c r="E159" s="37">
        <f t="shared" si="73"/>
        <v>0</v>
      </c>
      <c r="F159" s="37">
        <f t="shared" si="74"/>
        <v>0</v>
      </c>
      <c r="G159" s="37">
        <f t="shared" ca="1" si="75"/>
        <v>0.60000000000000031</v>
      </c>
      <c r="H159" s="37">
        <f t="shared" ca="1" si="76"/>
        <v>0.60000000000000031</v>
      </c>
      <c r="I159" s="37">
        <f t="shared" ca="1" si="77"/>
        <v>0.6</v>
      </c>
      <c r="J159" s="37">
        <f t="shared" ca="1" si="78"/>
        <v>0.59999999999999976</v>
      </c>
      <c r="K159" s="37">
        <f t="shared" ca="1" si="79"/>
        <v>0.59999999999999987</v>
      </c>
      <c r="L159" s="37">
        <f t="shared" ca="1" si="80"/>
        <v>0.6</v>
      </c>
      <c r="M159" s="37">
        <f t="shared" ca="1" si="81"/>
        <v>0.6</v>
      </c>
      <c r="N159" s="56">
        <f t="shared" si="82"/>
        <v>1</v>
      </c>
    </row>
    <row r="160" spans="3:14" x14ac:dyDescent="0.25">
      <c r="C160">
        <f t="shared" ref="C160:C209" si="85">+C159</f>
        <v>2023</v>
      </c>
      <c r="D160">
        <f t="shared" si="72"/>
        <v>3</v>
      </c>
      <c r="E160" s="37">
        <f t="shared" si="73"/>
        <v>0</v>
      </c>
      <c r="F160" s="37">
        <f t="shared" si="74"/>
        <v>0</v>
      </c>
      <c r="G160" s="37">
        <f t="shared" ca="1" si="75"/>
        <v>0.60000000000000031</v>
      </c>
      <c r="H160" s="37">
        <f t="shared" ca="1" si="76"/>
        <v>0.60000000000000031</v>
      </c>
      <c r="I160" s="37">
        <f t="shared" ca="1" si="77"/>
        <v>0.6</v>
      </c>
      <c r="J160" s="37">
        <f t="shared" ca="1" si="78"/>
        <v>0.59999999999999976</v>
      </c>
      <c r="K160" s="37">
        <f t="shared" ca="1" si="79"/>
        <v>0.59999999999999987</v>
      </c>
      <c r="L160" s="37">
        <f t="shared" ca="1" si="80"/>
        <v>0.6</v>
      </c>
      <c r="M160" s="37">
        <f t="shared" ca="1" si="81"/>
        <v>0.6</v>
      </c>
      <c r="N160" s="56">
        <f t="shared" si="82"/>
        <v>1</v>
      </c>
    </row>
    <row r="161" spans="3:14" x14ac:dyDescent="0.25">
      <c r="C161">
        <f t="shared" si="85"/>
        <v>2023</v>
      </c>
      <c r="D161">
        <f t="shared" si="72"/>
        <v>4</v>
      </c>
      <c r="E161" s="37">
        <f t="shared" si="73"/>
        <v>0</v>
      </c>
      <c r="F161" s="37">
        <f t="shared" si="74"/>
        <v>0</v>
      </c>
      <c r="G161" s="37">
        <f t="shared" ca="1" si="75"/>
        <v>0.60000000000000031</v>
      </c>
      <c r="H161" s="37">
        <f t="shared" ca="1" si="76"/>
        <v>0.60000000000000031</v>
      </c>
      <c r="I161" s="37">
        <f t="shared" ca="1" si="77"/>
        <v>0.6</v>
      </c>
      <c r="J161" s="37">
        <f t="shared" ca="1" si="78"/>
        <v>0.59999999999999976</v>
      </c>
      <c r="K161" s="37">
        <f t="shared" ca="1" si="79"/>
        <v>0.59999999999999987</v>
      </c>
      <c r="L161" s="37">
        <f t="shared" ca="1" si="80"/>
        <v>0.6</v>
      </c>
      <c r="M161" s="37">
        <f t="shared" ca="1" si="81"/>
        <v>0.6</v>
      </c>
      <c r="N161" s="56">
        <f t="shared" si="82"/>
        <v>1</v>
      </c>
    </row>
    <row r="162" spans="3:14" x14ac:dyDescent="0.25">
      <c r="C162">
        <f t="shared" si="85"/>
        <v>2023</v>
      </c>
      <c r="D162">
        <f t="shared" si="72"/>
        <v>5</v>
      </c>
      <c r="E162" s="37">
        <f t="shared" si="73"/>
        <v>0</v>
      </c>
      <c r="F162" s="37">
        <f t="shared" si="74"/>
        <v>0</v>
      </c>
      <c r="G162" s="37">
        <f t="shared" ca="1" si="75"/>
        <v>0.60000000000000031</v>
      </c>
      <c r="H162" s="37">
        <f t="shared" ca="1" si="76"/>
        <v>0.60000000000000031</v>
      </c>
      <c r="I162" s="37">
        <f t="shared" ca="1" si="77"/>
        <v>0.6</v>
      </c>
      <c r="J162" s="37">
        <f t="shared" ca="1" si="78"/>
        <v>0.59999999999999976</v>
      </c>
      <c r="K162" s="37">
        <f t="shared" ca="1" si="79"/>
        <v>0.59999999999999987</v>
      </c>
      <c r="L162" s="37">
        <f t="shared" ca="1" si="80"/>
        <v>0.6</v>
      </c>
      <c r="M162" s="37">
        <f t="shared" ca="1" si="81"/>
        <v>0.6</v>
      </c>
      <c r="N162" s="56">
        <f t="shared" si="82"/>
        <v>1</v>
      </c>
    </row>
    <row r="163" spans="3:14" x14ac:dyDescent="0.25">
      <c r="C163">
        <f t="shared" si="85"/>
        <v>2023</v>
      </c>
      <c r="D163">
        <f t="shared" si="72"/>
        <v>6</v>
      </c>
      <c r="E163" s="37">
        <f t="shared" si="73"/>
        <v>0</v>
      </c>
      <c r="F163" s="37">
        <f t="shared" si="74"/>
        <v>0</v>
      </c>
      <c r="G163" s="37">
        <f t="shared" ca="1" si="75"/>
        <v>0.60000000000000031</v>
      </c>
      <c r="H163" s="37">
        <f t="shared" ca="1" si="76"/>
        <v>0.60000000000000031</v>
      </c>
      <c r="I163" s="37">
        <f t="shared" ca="1" si="77"/>
        <v>0.6</v>
      </c>
      <c r="J163" s="37">
        <f t="shared" ca="1" si="78"/>
        <v>0.59999999999999976</v>
      </c>
      <c r="K163" s="37">
        <f t="shared" ca="1" si="79"/>
        <v>0.59999999999999987</v>
      </c>
      <c r="L163" s="37">
        <f t="shared" ca="1" si="80"/>
        <v>0.6</v>
      </c>
      <c r="M163" s="37">
        <f t="shared" ca="1" si="81"/>
        <v>0.6</v>
      </c>
      <c r="N163" s="56">
        <f t="shared" si="82"/>
        <v>1</v>
      </c>
    </row>
    <row r="164" spans="3:14" x14ac:dyDescent="0.25">
      <c r="C164">
        <f t="shared" si="85"/>
        <v>2023</v>
      </c>
      <c r="D164">
        <f t="shared" si="72"/>
        <v>7</v>
      </c>
      <c r="E164" s="37">
        <f t="shared" si="73"/>
        <v>0</v>
      </c>
      <c r="F164" s="37">
        <f t="shared" si="74"/>
        <v>0</v>
      </c>
      <c r="G164" s="37">
        <f t="shared" ca="1" si="75"/>
        <v>0.60000000000000031</v>
      </c>
      <c r="H164" s="37">
        <f t="shared" ca="1" si="76"/>
        <v>0.60000000000000031</v>
      </c>
      <c r="I164" s="37">
        <f t="shared" ca="1" si="77"/>
        <v>0.6</v>
      </c>
      <c r="J164" s="37">
        <f t="shared" ca="1" si="78"/>
        <v>0.59999999999999976</v>
      </c>
      <c r="K164" s="37">
        <f t="shared" ca="1" si="79"/>
        <v>0.59999999999999987</v>
      </c>
      <c r="L164" s="37">
        <f t="shared" ca="1" si="80"/>
        <v>0.6</v>
      </c>
      <c r="M164" s="37">
        <f t="shared" ca="1" si="81"/>
        <v>0.6</v>
      </c>
      <c r="N164" s="56">
        <f t="shared" si="82"/>
        <v>1</v>
      </c>
    </row>
    <row r="165" spans="3:14" x14ac:dyDescent="0.25">
      <c r="C165">
        <f t="shared" si="85"/>
        <v>2023</v>
      </c>
      <c r="D165">
        <f t="shared" si="72"/>
        <v>8</v>
      </c>
      <c r="E165" s="37">
        <f t="shared" si="73"/>
        <v>0</v>
      </c>
      <c r="F165" s="37">
        <f t="shared" si="74"/>
        <v>0</v>
      </c>
      <c r="G165" s="37">
        <f t="shared" ca="1" si="75"/>
        <v>0.60000000000000031</v>
      </c>
      <c r="H165" s="37">
        <f t="shared" ca="1" si="76"/>
        <v>0.60000000000000031</v>
      </c>
      <c r="I165" s="37">
        <f t="shared" ca="1" si="77"/>
        <v>0.6</v>
      </c>
      <c r="J165" s="37">
        <f t="shared" ca="1" si="78"/>
        <v>0.59999999999999976</v>
      </c>
      <c r="K165" s="37">
        <f t="shared" ca="1" si="79"/>
        <v>0.59999999999999987</v>
      </c>
      <c r="L165" s="37">
        <f t="shared" ca="1" si="80"/>
        <v>0.6</v>
      </c>
      <c r="M165" s="37">
        <f t="shared" ca="1" si="81"/>
        <v>0.6</v>
      </c>
      <c r="N165" s="56">
        <f t="shared" si="82"/>
        <v>1</v>
      </c>
    </row>
    <row r="166" spans="3:14" x14ac:dyDescent="0.25">
      <c r="C166">
        <f t="shared" si="85"/>
        <v>2023</v>
      </c>
      <c r="D166">
        <f t="shared" si="72"/>
        <v>9</v>
      </c>
      <c r="E166" s="37">
        <f t="shared" si="73"/>
        <v>0</v>
      </c>
      <c r="F166" s="37">
        <f t="shared" si="74"/>
        <v>0</v>
      </c>
      <c r="G166" s="37">
        <f t="shared" ca="1" si="75"/>
        <v>0.60000000000000031</v>
      </c>
      <c r="H166" s="37">
        <f t="shared" ca="1" si="76"/>
        <v>0.60000000000000031</v>
      </c>
      <c r="I166" s="37">
        <f t="shared" ca="1" si="77"/>
        <v>0.6</v>
      </c>
      <c r="J166" s="37">
        <f t="shared" ca="1" si="78"/>
        <v>0.59999999999999976</v>
      </c>
      <c r="K166" s="37">
        <f t="shared" ca="1" si="79"/>
        <v>0.59999999999999987</v>
      </c>
      <c r="L166" s="37">
        <f t="shared" ca="1" si="80"/>
        <v>0.6</v>
      </c>
      <c r="M166" s="37">
        <f t="shared" ca="1" si="81"/>
        <v>0.6</v>
      </c>
      <c r="N166" s="56">
        <f t="shared" si="82"/>
        <v>1</v>
      </c>
    </row>
    <row r="167" spans="3:14" x14ac:dyDescent="0.25">
      <c r="C167">
        <f t="shared" si="85"/>
        <v>2023</v>
      </c>
      <c r="D167">
        <f t="shared" si="72"/>
        <v>10</v>
      </c>
      <c r="E167" s="37">
        <f t="shared" si="73"/>
        <v>0</v>
      </c>
      <c r="F167" s="37">
        <f t="shared" si="74"/>
        <v>0</v>
      </c>
      <c r="G167" s="37">
        <f t="shared" ca="1" si="75"/>
        <v>0.60000000000000031</v>
      </c>
      <c r="H167" s="37">
        <f t="shared" ca="1" si="76"/>
        <v>0.60000000000000031</v>
      </c>
      <c r="I167" s="37">
        <f t="shared" ca="1" si="77"/>
        <v>0.6</v>
      </c>
      <c r="J167" s="37">
        <f t="shared" ca="1" si="78"/>
        <v>0.59999999999999976</v>
      </c>
      <c r="K167" s="37">
        <f t="shared" ca="1" si="79"/>
        <v>0.59999999999999987</v>
      </c>
      <c r="L167" s="37">
        <f t="shared" ca="1" si="80"/>
        <v>0.6</v>
      </c>
      <c r="M167" s="37">
        <f t="shared" ca="1" si="81"/>
        <v>0.6</v>
      </c>
      <c r="N167" s="56">
        <f t="shared" si="82"/>
        <v>1</v>
      </c>
    </row>
    <row r="168" spans="3:14" x14ac:dyDescent="0.25">
      <c r="C168">
        <f t="shared" si="85"/>
        <v>2023</v>
      </c>
      <c r="D168">
        <f t="shared" si="72"/>
        <v>11</v>
      </c>
      <c r="E168" s="37">
        <f t="shared" si="73"/>
        <v>0</v>
      </c>
      <c r="F168" s="37">
        <f t="shared" si="74"/>
        <v>0</v>
      </c>
      <c r="G168" s="37">
        <f t="shared" ca="1" si="75"/>
        <v>0.60000000000000031</v>
      </c>
      <c r="H168" s="37">
        <f t="shared" ca="1" si="76"/>
        <v>0.60000000000000031</v>
      </c>
      <c r="I168" s="37">
        <f t="shared" ca="1" si="77"/>
        <v>0.6</v>
      </c>
      <c r="J168" s="37">
        <f t="shared" ca="1" si="78"/>
        <v>0.59999999999999976</v>
      </c>
      <c r="K168" s="37">
        <f t="shared" ca="1" si="79"/>
        <v>0.59999999999999987</v>
      </c>
      <c r="L168" s="37">
        <f t="shared" ca="1" si="80"/>
        <v>0.6</v>
      </c>
      <c r="M168" s="37">
        <f t="shared" ca="1" si="81"/>
        <v>0.6</v>
      </c>
      <c r="N168" s="56">
        <f t="shared" si="82"/>
        <v>1</v>
      </c>
    </row>
    <row r="169" spans="3:14" x14ac:dyDescent="0.25">
      <c r="C169">
        <f t="shared" si="85"/>
        <v>2023</v>
      </c>
      <c r="D169">
        <f t="shared" si="72"/>
        <v>12</v>
      </c>
      <c r="E169" s="37">
        <f t="shared" si="73"/>
        <v>0</v>
      </c>
      <c r="F169" s="37">
        <f t="shared" si="74"/>
        <v>0</v>
      </c>
      <c r="G169" s="37">
        <f t="shared" ca="1" si="75"/>
        <v>0.60000000000000031</v>
      </c>
      <c r="H169" s="37">
        <f t="shared" ca="1" si="76"/>
        <v>0.60000000000000031</v>
      </c>
      <c r="I169" s="37">
        <f t="shared" ca="1" si="77"/>
        <v>0.6</v>
      </c>
      <c r="J169" s="37">
        <f t="shared" ca="1" si="78"/>
        <v>0.59999999999999976</v>
      </c>
      <c r="K169" s="37">
        <f t="shared" ca="1" si="79"/>
        <v>0.59999999999999987</v>
      </c>
      <c r="L169" s="37">
        <f t="shared" ca="1" si="80"/>
        <v>0.6</v>
      </c>
      <c r="M169" s="37">
        <f t="shared" ca="1" si="81"/>
        <v>0.6</v>
      </c>
      <c r="N169" s="56">
        <f t="shared" si="82"/>
        <v>1</v>
      </c>
    </row>
    <row r="170" spans="3:14" x14ac:dyDescent="0.25">
      <c r="C170">
        <f t="shared" si="85"/>
        <v>2023</v>
      </c>
      <c r="D170">
        <f t="shared" si="72"/>
        <v>13</v>
      </c>
      <c r="E170" s="37">
        <f t="shared" si="73"/>
        <v>0</v>
      </c>
      <c r="F170" s="37">
        <f t="shared" si="74"/>
        <v>0</v>
      </c>
      <c r="G170" s="37">
        <f t="shared" ca="1" si="75"/>
        <v>0.60000000000000031</v>
      </c>
      <c r="H170" s="37">
        <f t="shared" ca="1" si="76"/>
        <v>0.60000000000000031</v>
      </c>
      <c r="I170" s="37">
        <f t="shared" ca="1" si="77"/>
        <v>0.6</v>
      </c>
      <c r="J170" s="37">
        <f t="shared" ca="1" si="78"/>
        <v>0.59999999999999976</v>
      </c>
      <c r="K170" s="37">
        <f t="shared" ca="1" si="79"/>
        <v>0.59999999999999987</v>
      </c>
      <c r="L170" s="37">
        <f t="shared" ca="1" si="80"/>
        <v>0.6</v>
      </c>
      <c r="M170" s="37">
        <f t="shared" ca="1" si="81"/>
        <v>0.6</v>
      </c>
      <c r="N170" s="56">
        <f t="shared" si="82"/>
        <v>1</v>
      </c>
    </row>
    <row r="171" spans="3:14" x14ac:dyDescent="0.25">
      <c r="C171">
        <f t="shared" si="85"/>
        <v>2023</v>
      </c>
      <c r="D171">
        <f t="shared" ref="D171:D234" si="86">+D119</f>
        <v>14</v>
      </c>
      <c r="E171" s="37">
        <f t="shared" ref="E171:E234" si="87">+E170</f>
        <v>0</v>
      </c>
      <c r="F171" s="37">
        <f t="shared" ref="F171:F234" si="88">+F170</f>
        <v>0</v>
      </c>
      <c r="G171" s="37">
        <f t="shared" ref="G171:G234" ca="1" si="89">+G170</f>
        <v>0.60000000000000031</v>
      </c>
      <c r="H171" s="37">
        <f t="shared" ref="H171:H234" ca="1" si="90">+H170</f>
        <v>0.60000000000000031</v>
      </c>
      <c r="I171" s="37">
        <f t="shared" ref="I171:I234" ca="1" si="91">+I170</f>
        <v>0.6</v>
      </c>
      <c r="J171" s="37">
        <f t="shared" ref="J171:J234" ca="1" si="92">+J170</f>
        <v>0.59999999999999976</v>
      </c>
      <c r="K171" s="37">
        <f t="shared" ref="K171:K234" ca="1" si="93">+K170</f>
        <v>0.59999999999999987</v>
      </c>
      <c r="L171" s="37">
        <f t="shared" ref="L171:L234" ca="1" si="94">+L170</f>
        <v>0.6</v>
      </c>
      <c r="M171" s="37">
        <f t="shared" ref="M171:M234" ca="1" si="95">+M170</f>
        <v>0.6</v>
      </c>
      <c r="N171" s="56">
        <f t="shared" ref="N171:N234" si="96">+N170</f>
        <v>1</v>
      </c>
    </row>
    <row r="172" spans="3:14" x14ac:dyDescent="0.25">
      <c r="C172">
        <f t="shared" si="85"/>
        <v>2023</v>
      </c>
      <c r="D172">
        <f t="shared" si="86"/>
        <v>15</v>
      </c>
      <c r="E172" s="37">
        <f t="shared" si="87"/>
        <v>0</v>
      </c>
      <c r="F172" s="37">
        <f t="shared" si="88"/>
        <v>0</v>
      </c>
      <c r="G172" s="37">
        <f t="shared" ca="1" si="89"/>
        <v>0.60000000000000031</v>
      </c>
      <c r="H172" s="37">
        <f t="shared" ca="1" si="90"/>
        <v>0.60000000000000031</v>
      </c>
      <c r="I172" s="37">
        <f t="shared" ca="1" si="91"/>
        <v>0.6</v>
      </c>
      <c r="J172" s="37">
        <f t="shared" ca="1" si="92"/>
        <v>0.59999999999999976</v>
      </c>
      <c r="K172" s="37">
        <f t="shared" ca="1" si="93"/>
        <v>0.59999999999999987</v>
      </c>
      <c r="L172" s="37">
        <f t="shared" ca="1" si="94"/>
        <v>0.6</v>
      </c>
      <c r="M172" s="37">
        <f t="shared" ca="1" si="95"/>
        <v>0.6</v>
      </c>
      <c r="N172" s="56">
        <f t="shared" si="96"/>
        <v>1</v>
      </c>
    </row>
    <row r="173" spans="3:14" x14ac:dyDescent="0.25">
      <c r="C173">
        <f t="shared" si="85"/>
        <v>2023</v>
      </c>
      <c r="D173">
        <f t="shared" si="86"/>
        <v>16</v>
      </c>
      <c r="E173" s="37">
        <f t="shared" si="87"/>
        <v>0</v>
      </c>
      <c r="F173" s="37">
        <f t="shared" si="88"/>
        <v>0</v>
      </c>
      <c r="G173" s="37">
        <f t="shared" ca="1" si="89"/>
        <v>0.60000000000000031</v>
      </c>
      <c r="H173" s="37">
        <f t="shared" ca="1" si="90"/>
        <v>0.60000000000000031</v>
      </c>
      <c r="I173" s="37">
        <f t="shared" ca="1" si="91"/>
        <v>0.6</v>
      </c>
      <c r="J173" s="37">
        <f t="shared" ca="1" si="92"/>
        <v>0.59999999999999976</v>
      </c>
      <c r="K173" s="37">
        <f t="shared" ca="1" si="93"/>
        <v>0.59999999999999987</v>
      </c>
      <c r="L173" s="37">
        <f t="shared" ca="1" si="94"/>
        <v>0.6</v>
      </c>
      <c r="M173" s="37">
        <f t="shared" ca="1" si="95"/>
        <v>0.6</v>
      </c>
      <c r="N173" s="56">
        <f t="shared" si="96"/>
        <v>1</v>
      </c>
    </row>
    <row r="174" spans="3:14" x14ac:dyDescent="0.25">
      <c r="C174">
        <f t="shared" si="85"/>
        <v>2023</v>
      </c>
      <c r="D174">
        <f t="shared" si="86"/>
        <v>17</v>
      </c>
      <c r="E174" s="37">
        <f t="shared" si="87"/>
        <v>0</v>
      </c>
      <c r="F174" s="37">
        <f t="shared" si="88"/>
        <v>0</v>
      </c>
      <c r="G174" s="37">
        <f t="shared" ca="1" si="89"/>
        <v>0.60000000000000031</v>
      </c>
      <c r="H174" s="37">
        <f t="shared" ca="1" si="90"/>
        <v>0.60000000000000031</v>
      </c>
      <c r="I174" s="37">
        <f t="shared" ca="1" si="91"/>
        <v>0.6</v>
      </c>
      <c r="J174" s="37">
        <f t="shared" ca="1" si="92"/>
        <v>0.59999999999999976</v>
      </c>
      <c r="K174" s="37">
        <f t="shared" ca="1" si="93"/>
        <v>0.59999999999999987</v>
      </c>
      <c r="L174" s="37">
        <f t="shared" ca="1" si="94"/>
        <v>0.6</v>
      </c>
      <c r="M174" s="37">
        <f t="shared" ca="1" si="95"/>
        <v>0.6</v>
      </c>
      <c r="N174" s="56">
        <f t="shared" si="96"/>
        <v>1</v>
      </c>
    </row>
    <row r="175" spans="3:14" x14ac:dyDescent="0.25">
      <c r="C175">
        <f t="shared" si="85"/>
        <v>2023</v>
      </c>
      <c r="D175">
        <f t="shared" si="86"/>
        <v>18</v>
      </c>
      <c r="E175" s="37">
        <f t="shared" si="87"/>
        <v>0</v>
      </c>
      <c r="F175" s="37">
        <f t="shared" si="88"/>
        <v>0</v>
      </c>
      <c r="G175" s="37">
        <f t="shared" ca="1" si="89"/>
        <v>0.60000000000000031</v>
      </c>
      <c r="H175" s="37">
        <f t="shared" ca="1" si="90"/>
        <v>0.60000000000000031</v>
      </c>
      <c r="I175" s="37">
        <f t="shared" ca="1" si="91"/>
        <v>0.6</v>
      </c>
      <c r="J175" s="37">
        <f t="shared" ca="1" si="92"/>
        <v>0.59999999999999976</v>
      </c>
      <c r="K175" s="37">
        <f t="shared" ca="1" si="93"/>
        <v>0.59999999999999987</v>
      </c>
      <c r="L175" s="37">
        <f t="shared" ca="1" si="94"/>
        <v>0.6</v>
      </c>
      <c r="M175" s="37">
        <f t="shared" ca="1" si="95"/>
        <v>0.6</v>
      </c>
      <c r="N175" s="56">
        <f t="shared" si="96"/>
        <v>1</v>
      </c>
    </row>
    <row r="176" spans="3:14" x14ac:dyDescent="0.25">
      <c r="C176">
        <f t="shared" si="85"/>
        <v>2023</v>
      </c>
      <c r="D176">
        <f t="shared" si="86"/>
        <v>19</v>
      </c>
      <c r="E176" s="37">
        <f t="shared" si="87"/>
        <v>0</v>
      </c>
      <c r="F176" s="37">
        <f t="shared" si="88"/>
        <v>0</v>
      </c>
      <c r="G176" s="37">
        <f t="shared" ca="1" si="89"/>
        <v>0.60000000000000031</v>
      </c>
      <c r="H176" s="37">
        <f t="shared" ca="1" si="90"/>
        <v>0.60000000000000031</v>
      </c>
      <c r="I176" s="37">
        <f t="shared" ca="1" si="91"/>
        <v>0.6</v>
      </c>
      <c r="J176" s="37">
        <f t="shared" ca="1" si="92"/>
        <v>0.59999999999999976</v>
      </c>
      <c r="K176" s="37">
        <f t="shared" ca="1" si="93"/>
        <v>0.59999999999999987</v>
      </c>
      <c r="L176" s="37">
        <f t="shared" ca="1" si="94"/>
        <v>0.6</v>
      </c>
      <c r="M176" s="37">
        <f t="shared" ca="1" si="95"/>
        <v>0.6</v>
      </c>
      <c r="N176" s="56">
        <f t="shared" si="96"/>
        <v>1</v>
      </c>
    </row>
    <row r="177" spans="3:14" x14ac:dyDescent="0.25">
      <c r="C177">
        <f t="shared" si="85"/>
        <v>2023</v>
      </c>
      <c r="D177">
        <f t="shared" si="86"/>
        <v>20</v>
      </c>
      <c r="E177" s="37">
        <f t="shared" si="87"/>
        <v>0</v>
      </c>
      <c r="F177" s="37">
        <f t="shared" si="88"/>
        <v>0</v>
      </c>
      <c r="G177" s="37">
        <f t="shared" ca="1" si="89"/>
        <v>0.60000000000000031</v>
      </c>
      <c r="H177" s="37">
        <f t="shared" ca="1" si="90"/>
        <v>0.60000000000000031</v>
      </c>
      <c r="I177" s="37">
        <f t="shared" ca="1" si="91"/>
        <v>0.6</v>
      </c>
      <c r="J177" s="37">
        <f t="shared" ca="1" si="92"/>
        <v>0.59999999999999976</v>
      </c>
      <c r="K177" s="37">
        <f t="shared" ca="1" si="93"/>
        <v>0.59999999999999987</v>
      </c>
      <c r="L177" s="37">
        <f t="shared" ca="1" si="94"/>
        <v>0.6</v>
      </c>
      <c r="M177" s="37">
        <f t="shared" ca="1" si="95"/>
        <v>0.6</v>
      </c>
      <c r="N177" s="56">
        <f t="shared" si="96"/>
        <v>1</v>
      </c>
    </row>
    <row r="178" spans="3:14" x14ac:dyDescent="0.25">
      <c r="C178">
        <f t="shared" si="85"/>
        <v>2023</v>
      </c>
      <c r="D178">
        <f t="shared" si="86"/>
        <v>21</v>
      </c>
      <c r="E178" s="37">
        <f t="shared" si="87"/>
        <v>0</v>
      </c>
      <c r="F178" s="37">
        <f t="shared" si="88"/>
        <v>0</v>
      </c>
      <c r="G178" s="37">
        <f t="shared" ca="1" si="89"/>
        <v>0.60000000000000031</v>
      </c>
      <c r="H178" s="37">
        <f t="shared" ca="1" si="90"/>
        <v>0.60000000000000031</v>
      </c>
      <c r="I178" s="37">
        <f t="shared" ca="1" si="91"/>
        <v>0.6</v>
      </c>
      <c r="J178" s="37">
        <f t="shared" ca="1" si="92"/>
        <v>0.59999999999999976</v>
      </c>
      <c r="K178" s="37">
        <f t="shared" ca="1" si="93"/>
        <v>0.59999999999999987</v>
      </c>
      <c r="L178" s="37">
        <f t="shared" ca="1" si="94"/>
        <v>0.6</v>
      </c>
      <c r="M178" s="37">
        <f t="shared" ca="1" si="95"/>
        <v>0.6</v>
      </c>
      <c r="N178" s="56">
        <f t="shared" si="96"/>
        <v>1</v>
      </c>
    </row>
    <row r="179" spans="3:14" x14ac:dyDescent="0.25">
      <c r="C179">
        <f t="shared" si="85"/>
        <v>2023</v>
      </c>
      <c r="D179">
        <f t="shared" si="86"/>
        <v>22</v>
      </c>
      <c r="E179" s="37">
        <f t="shared" si="87"/>
        <v>0</v>
      </c>
      <c r="F179" s="37">
        <f t="shared" si="88"/>
        <v>0</v>
      </c>
      <c r="G179" s="37">
        <f t="shared" ca="1" si="89"/>
        <v>0.60000000000000031</v>
      </c>
      <c r="H179" s="37">
        <f t="shared" ca="1" si="90"/>
        <v>0.60000000000000031</v>
      </c>
      <c r="I179" s="37">
        <f t="shared" ca="1" si="91"/>
        <v>0.6</v>
      </c>
      <c r="J179" s="37">
        <f t="shared" ca="1" si="92"/>
        <v>0.59999999999999976</v>
      </c>
      <c r="K179" s="37">
        <f t="shared" ca="1" si="93"/>
        <v>0.59999999999999987</v>
      </c>
      <c r="L179" s="37">
        <f t="shared" ca="1" si="94"/>
        <v>0.6</v>
      </c>
      <c r="M179" s="37">
        <f t="shared" ca="1" si="95"/>
        <v>0.6</v>
      </c>
      <c r="N179" s="56">
        <f t="shared" si="96"/>
        <v>1</v>
      </c>
    </row>
    <row r="180" spans="3:14" x14ac:dyDescent="0.25">
      <c r="C180">
        <f t="shared" si="85"/>
        <v>2023</v>
      </c>
      <c r="D180">
        <f t="shared" si="86"/>
        <v>23</v>
      </c>
      <c r="E180" s="37">
        <f t="shared" si="87"/>
        <v>0</v>
      </c>
      <c r="F180" s="37">
        <f t="shared" si="88"/>
        <v>0</v>
      </c>
      <c r="G180" s="37">
        <f t="shared" ca="1" si="89"/>
        <v>0.60000000000000031</v>
      </c>
      <c r="H180" s="37">
        <f t="shared" ca="1" si="90"/>
        <v>0.60000000000000031</v>
      </c>
      <c r="I180" s="37">
        <f t="shared" ca="1" si="91"/>
        <v>0.6</v>
      </c>
      <c r="J180" s="37">
        <f t="shared" ca="1" si="92"/>
        <v>0.59999999999999976</v>
      </c>
      <c r="K180" s="37">
        <f t="shared" ca="1" si="93"/>
        <v>0.59999999999999987</v>
      </c>
      <c r="L180" s="37">
        <f t="shared" ca="1" si="94"/>
        <v>0.6</v>
      </c>
      <c r="M180" s="37">
        <f t="shared" ca="1" si="95"/>
        <v>0.6</v>
      </c>
      <c r="N180" s="56">
        <f t="shared" si="96"/>
        <v>1</v>
      </c>
    </row>
    <row r="181" spans="3:14" x14ac:dyDescent="0.25">
      <c r="C181">
        <f t="shared" si="85"/>
        <v>2023</v>
      </c>
      <c r="D181">
        <f t="shared" si="86"/>
        <v>24</v>
      </c>
      <c r="E181" s="37">
        <f t="shared" si="87"/>
        <v>0</v>
      </c>
      <c r="F181" s="37">
        <f t="shared" si="88"/>
        <v>0</v>
      </c>
      <c r="G181" s="37">
        <f t="shared" ca="1" si="89"/>
        <v>0.60000000000000031</v>
      </c>
      <c r="H181" s="37">
        <f t="shared" ca="1" si="90"/>
        <v>0.60000000000000031</v>
      </c>
      <c r="I181" s="37">
        <f t="shared" ca="1" si="91"/>
        <v>0.6</v>
      </c>
      <c r="J181" s="37">
        <f t="shared" ca="1" si="92"/>
        <v>0.59999999999999976</v>
      </c>
      <c r="K181" s="37">
        <f t="shared" ca="1" si="93"/>
        <v>0.59999999999999987</v>
      </c>
      <c r="L181" s="37">
        <f t="shared" ca="1" si="94"/>
        <v>0.6</v>
      </c>
      <c r="M181" s="37">
        <f t="shared" ca="1" si="95"/>
        <v>0.6</v>
      </c>
      <c r="N181" s="56">
        <f t="shared" si="96"/>
        <v>1</v>
      </c>
    </row>
    <row r="182" spans="3:14" x14ac:dyDescent="0.25">
      <c r="C182">
        <f t="shared" si="85"/>
        <v>2023</v>
      </c>
      <c r="D182">
        <f t="shared" si="86"/>
        <v>25</v>
      </c>
      <c r="E182" s="37">
        <f t="shared" si="87"/>
        <v>0</v>
      </c>
      <c r="F182" s="37">
        <f t="shared" si="88"/>
        <v>0</v>
      </c>
      <c r="G182" s="37">
        <f t="shared" ca="1" si="89"/>
        <v>0.60000000000000031</v>
      </c>
      <c r="H182" s="37">
        <f t="shared" ca="1" si="90"/>
        <v>0.60000000000000031</v>
      </c>
      <c r="I182" s="37">
        <f t="shared" ca="1" si="91"/>
        <v>0.6</v>
      </c>
      <c r="J182" s="37">
        <f t="shared" ca="1" si="92"/>
        <v>0.59999999999999976</v>
      </c>
      <c r="K182" s="37">
        <f t="shared" ca="1" si="93"/>
        <v>0.59999999999999987</v>
      </c>
      <c r="L182" s="37">
        <f t="shared" ca="1" si="94"/>
        <v>0.6</v>
      </c>
      <c r="M182" s="37">
        <f t="shared" ca="1" si="95"/>
        <v>0.6</v>
      </c>
      <c r="N182" s="56">
        <f t="shared" si="96"/>
        <v>1</v>
      </c>
    </row>
    <row r="183" spans="3:14" x14ac:dyDescent="0.25">
      <c r="C183">
        <f t="shared" si="85"/>
        <v>2023</v>
      </c>
      <c r="D183">
        <f t="shared" si="86"/>
        <v>26</v>
      </c>
      <c r="E183" s="37">
        <f t="shared" si="87"/>
        <v>0</v>
      </c>
      <c r="F183" s="37">
        <f t="shared" si="88"/>
        <v>0</v>
      </c>
      <c r="G183" s="37">
        <f t="shared" ca="1" si="89"/>
        <v>0.60000000000000031</v>
      </c>
      <c r="H183" s="37">
        <f t="shared" ca="1" si="90"/>
        <v>0.60000000000000031</v>
      </c>
      <c r="I183" s="37">
        <f t="shared" ca="1" si="91"/>
        <v>0.6</v>
      </c>
      <c r="J183" s="37">
        <f t="shared" ca="1" si="92"/>
        <v>0.59999999999999976</v>
      </c>
      <c r="K183" s="37">
        <f t="shared" ca="1" si="93"/>
        <v>0.59999999999999987</v>
      </c>
      <c r="L183" s="37">
        <f t="shared" ca="1" si="94"/>
        <v>0.6</v>
      </c>
      <c r="M183" s="37">
        <f t="shared" ca="1" si="95"/>
        <v>0.6</v>
      </c>
      <c r="N183" s="56">
        <f t="shared" si="96"/>
        <v>1</v>
      </c>
    </row>
    <row r="184" spans="3:14" x14ac:dyDescent="0.25">
      <c r="C184">
        <f t="shared" si="85"/>
        <v>2023</v>
      </c>
      <c r="D184">
        <f t="shared" si="86"/>
        <v>27</v>
      </c>
      <c r="E184" s="37">
        <f t="shared" si="87"/>
        <v>0</v>
      </c>
      <c r="F184" s="37">
        <f t="shared" si="88"/>
        <v>0</v>
      </c>
      <c r="G184" s="37">
        <f t="shared" ca="1" si="89"/>
        <v>0.60000000000000031</v>
      </c>
      <c r="H184" s="37">
        <f t="shared" ca="1" si="90"/>
        <v>0.60000000000000031</v>
      </c>
      <c r="I184" s="37">
        <f t="shared" ca="1" si="91"/>
        <v>0.6</v>
      </c>
      <c r="J184" s="37">
        <f t="shared" ca="1" si="92"/>
        <v>0.59999999999999976</v>
      </c>
      <c r="K184" s="37">
        <f t="shared" ca="1" si="93"/>
        <v>0.59999999999999987</v>
      </c>
      <c r="L184" s="37">
        <f t="shared" ca="1" si="94"/>
        <v>0.6</v>
      </c>
      <c r="M184" s="37">
        <f t="shared" ca="1" si="95"/>
        <v>0.6</v>
      </c>
      <c r="N184" s="56">
        <f t="shared" si="96"/>
        <v>1</v>
      </c>
    </row>
    <row r="185" spans="3:14" x14ac:dyDescent="0.25">
      <c r="C185">
        <f t="shared" si="85"/>
        <v>2023</v>
      </c>
      <c r="D185">
        <f t="shared" si="86"/>
        <v>28</v>
      </c>
      <c r="E185" s="37">
        <f t="shared" si="87"/>
        <v>0</v>
      </c>
      <c r="F185" s="37">
        <f t="shared" si="88"/>
        <v>0</v>
      </c>
      <c r="G185" s="37">
        <f t="shared" ca="1" si="89"/>
        <v>0.60000000000000031</v>
      </c>
      <c r="H185" s="37">
        <f t="shared" ca="1" si="90"/>
        <v>0.60000000000000031</v>
      </c>
      <c r="I185" s="37">
        <f t="shared" ca="1" si="91"/>
        <v>0.6</v>
      </c>
      <c r="J185" s="37">
        <f t="shared" ca="1" si="92"/>
        <v>0.59999999999999976</v>
      </c>
      <c r="K185" s="37">
        <f t="shared" ca="1" si="93"/>
        <v>0.59999999999999987</v>
      </c>
      <c r="L185" s="37">
        <f t="shared" ca="1" si="94"/>
        <v>0.6</v>
      </c>
      <c r="M185" s="37">
        <f t="shared" ca="1" si="95"/>
        <v>0.6</v>
      </c>
      <c r="N185" s="56">
        <f t="shared" si="96"/>
        <v>1</v>
      </c>
    </row>
    <row r="186" spans="3:14" x14ac:dyDescent="0.25">
      <c r="C186">
        <f t="shared" si="85"/>
        <v>2023</v>
      </c>
      <c r="D186">
        <f t="shared" si="86"/>
        <v>29</v>
      </c>
      <c r="E186" s="37">
        <f t="shared" si="87"/>
        <v>0</v>
      </c>
      <c r="F186" s="37">
        <f t="shared" si="88"/>
        <v>0</v>
      </c>
      <c r="G186" s="37">
        <f t="shared" ca="1" si="89"/>
        <v>0.60000000000000031</v>
      </c>
      <c r="H186" s="37">
        <f t="shared" ca="1" si="90"/>
        <v>0.60000000000000031</v>
      </c>
      <c r="I186" s="37">
        <f t="shared" ca="1" si="91"/>
        <v>0.6</v>
      </c>
      <c r="J186" s="37">
        <f t="shared" ca="1" si="92"/>
        <v>0.59999999999999976</v>
      </c>
      <c r="K186" s="37">
        <f t="shared" ca="1" si="93"/>
        <v>0.59999999999999987</v>
      </c>
      <c r="L186" s="37">
        <f t="shared" ca="1" si="94"/>
        <v>0.6</v>
      </c>
      <c r="M186" s="37">
        <f t="shared" ca="1" si="95"/>
        <v>0.6</v>
      </c>
      <c r="N186" s="56">
        <f t="shared" si="96"/>
        <v>1</v>
      </c>
    </row>
    <row r="187" spans="3:14" x14ac:dyDescent="0.25">
      <c r="C187">
        <f t="shared" si="85"/>
        <v>2023</v>
      </c>
      <c r="D187">
        <f t="shared" si="86"/>
        <v>30</v>
      </c>
      <c r="E187" s="37">
        <f t="shared" si="87"/>
        <v>0</v>
      </c>
      <c r="F187" s="37">
        <f t="shared" si="88"/>
        <v>0</v>
      </c>
      <c r="G187" s="37">
        <f t="shared" ca="1" si="89"/>
        <v>0.60000000000000031</v>
      </c>
      <c r="H187" s="37">
        <f t="shared" ca="1" si="90"/>
        <v>0.60000000000000031</v>
      </c>
      <c r="I187" s="37">
        <f t="shared" ca="1" si="91"/>
        <v>0.6</v>
      </c>
      <c r="J187" s="37">
        <f t="shared" ca="1" si="92"/>
        <v>0.59999999999999976</v>
      </c>
      <c r="K187" s="37">
        <f t="shared" ca="1" si="93"/>
        <v>0.59999999999999987</v>
      </c>
      <c r="L187" s="37">
        <f t="shared" ca="1" si="94"/>
        <v>0.6</v>
      </c>
      <c r="M187" s="37">
        <f t="shared" ca="1" si="95"/>
        <v>0.6</v>
      </c>
      <c r="N187" s="56">
        <f t="shared" si="96"/>
        <v>1</v>
      </c>
    </row>
    <row r="188" spans="3:14" x14ac:dyDescent="0.25">
      <c r="C188">
        <f t="shared" si="85"/>
        <v>2023</v>
      </c>
      <c r="D188">
        <f t="shared" si="86"/>
        <v>31</v>
      </c>
      <c r="E188" s="37">
        <f t="shared" si="87"/>
        <v>0</v>
      </c>
      <c r="F188" s="37">
        <f t="shared" si="88"/>
        <v>0</v>
      </c>
      <c r="G188" s="37">
        <f t="shared" ca="1" si="89"/>
        <v>0.60000000000000031</v>
      </c>
      <c r="H188" s="37">
        <f t="shared" ca="1" si="90"/>
        <v>0.60000000000000031</v>
      </c>
      <c r="I188" s="37">
        <f t="shared" ca="1" si="91"/>
        <v>0.6</v>
      </c>
      <c r="J188" s="37">
        <f t="shared" ca="1" si="92"/>
        <v>0.59999999999999976</v>
      </c>
      <c r="K188" s="37">
        <f t="shared" ca="1" si="93"/>
        <v>0.59999999999999987</v>
      </c>
      <c r="L188" s="37">
        <f t="shared" ca="1" si="94"/>
        <v>0.6</v>
      </c>
      <c r="M188" s="37">
        <f t="shared" ca="1" si="95"/>
        <v>0.6</v>
      </c>
      <c r="N188" s="56">
        <f t="shared" si="96"/>
        <v>1</v>
      </c>
    </row>
    <row r="189" spans="3:14" x14ac:dyDescent="0.25">
      <c r="C189">
        <f t="shared" si="85"/>
        <v>2023</v>
      </c>
      <c r="D189">
        <f t="shared" si="86"/>
        <v>32</v>
      </c>
      <c r="E189" s="37">
        <f t="shared" si="87"/>
        <v>0</v>
      </c>
      <c r="F189" s="37">
        <f t="shared" si="88"/>
        <v>0</v>
      </c>
      <c r="G189" s="37">
        <f t="shared" ca="1" si="89"/>
        <v>0.60000000000000031</v>
      </c>
      <c r="H189" s="37">
        <f t="shared" ca="1" si="90"/>
        <v>0.60000000000000031</v>
      </c>
      <c r="I189" s="37">
        <f t="shared" ca="1" si="91"/>
        <v>0.6</v>
      </c>
      <c r="J189" s="37">
        <f t="shared" ca="1" si="92"/>
        <v>0.59999999999999976</v>
      </c>
      <c r="K189" s="37">
        <f t="shared" ca="1" si="93"/>
        <v>0.59999999999999987</v>
      </c>
      <c r="L189" s="37">
        <f t="shared" ca="1" si="94"/>
        <v>0.6</v>
      </c>
      <c r="M189" s="37">
        <f t="shared" ca="1" si="95"/>
        <v>0.6</v>
      </c>
      <c r="N189" s="56">
        <f t="shared" si="96"/>
        <v>1</v>
      </c>
    </row>
    <row r="190" spans="3:14" x14ac:dyDescent="0.25">
      <c r="C190">
        <f t="shared" si="85"/>
        <v>2023</v>
      </c>
      <c r="D190">
        <f t="shared" si="86"/>
        <v>33</v>
      </c>
      <c r="E190" s="37">
        <f t="shared" si="87"/>
        <v>0</v>
      </c>
      <c r="F190" s="37">
        <f t="shared" si="88"/>
        <v>0</v>
      </c>
      <c r="G190" s="37">
        <f t="shared" ca="1" si="89"/>
        <v>0.60000000000000031</v>
      </c>
      <c r="H190" s="37">
        <f t="shared" ca="1" si="90"/>
        <v>0.60000000000000031</v>
      </c>
      <c r="I190" s="37">
        <f t="shared" ca="1" si="91"/>
        <v>0.6</v>
      </c>
      <c r="J190" s="37">
        <f t="shared" ca="1" si="92"/>
        <v>0.59999999999999976</v>
      </c>
      <c r="K190" s="37">
        <f t="shared" ca="1" si="93"/>
        <v>0.59999999999999987</v>
      </c>
      <c r="L190" s="37">
        <f t="shared" ca="1" si="94"/>
        <v>0.6</v>
      </c>
      <c r="M190" s="37">
        <f t="shared" ca="1" si="95"/>
        <v>0.6</v>
      </c>
      <c r="N190" s="56">
        <f t="shared" si="96"/>
        <v>1</v>
      </c>
    </row>
    <row r="191" spans="3:14" x14ac:dyDescent="0.25">
      <c r="C191">
        <f t="shared" si="85"/>
        <v>2023</v>
      </c>
      <c r="D191">
        <f t="shared" si="86"/>
        <v>34</v>
      </c>
      <c r="E191" s="37">
        <f t="shared" si="87"/>
        <v>0</v>
      </c>
      <c r="F191" s="37">
        <f t="shared" si="88"/>
        <v>0</v>
      </c>
      <c r="G191" s="37">
        <f t="shared" ca="1" si="89"/>
        <v>0.60000000000000031</v>
      </c>
      <c r="H191" s="37">
        <f t="shared" ca="1" si="90"/>
        <v>0.60000000000000031</v>
      </c>
      <c r="I191" s="37">
        <f t="shared" ca="1" si="91"/>
        <v>0.6</v>
      </c>
      <c r="J191" s="37">
        <f t="shared" ca="1" si="92"/>
        <v>0.59999999999999976</v>
      </c>
      <c r="K191" s="37">
        <f t="shared" ca="1" si="93"/>
        <v>0.59999999999999987</v>
      </c>
      <c r="L191" s="37">
        <f t="shared" ca="1" si="94"/>
        <v>0.6</v>
      </c>
      <c r="M191" s="37">
        <f t="shared" ca="1" si="95"/>
        <v>0.6</v>
      </c>
      <c r="N191" s="56">
        <f t="shared" si="96"/>
        <v>1</v>
      </c>
    </row>
    <row r="192" spans="3:14" x14ac:dyDescent="0.25">
      <c r="C192">
        <f t="shared" si="85"/>
        <v>2023</v>
      </c>
      <c r="D192">
        <f t="shared" si="86"/>
        <v>35</v>
      </c>
      <c r="E192" s="37">
        <f t="shared" si="87"/>
        <v>0</v>
      </c>
      <c r="F192" s="37">
        <f t="shared" si="88"/>
        <v>0</v>
      </c>
      <c r="G192" s="37">
        <f t="shared" ca="1" si="89"/>
        <v>0.60000000000000031</v>
      </c>
      <c r="H192" s="37">
        <f t="shared" ca="1" si="90"/>
        <v>0.60000000000000031</v>
      </c>
      <c r="I192" s="37">
        <f t="shared" ca="1" si="91"/>
        <v>0.6</v>
      </c>
      <c r="J192" s="37">
        <f t="shared" ca="1" si="92"/>
        <v>0.59999999999999976</v>
      </c>
      <c r="K192" s="37">
        <f t="shared" ca="1" si="93"/>
        <v>0.59999999999999987</v>
      </c>
      <c r="L192" s="37">
        <f t="shared" ca="1" si="94"/>
        <v>0.6</v>
      </c>
      <c r="M192" s="37">
        <f t="shared" ca="1" si="95"/>
        <v>0.6</v>
      </c>
      <c r="N192" s="56">
        <f t="shared" si="96"/>
        <v>1</v>
      </c>
    </row>
    <row r="193" spans="3:14" x14ac:dyDescent="0.25">
      <c r="C193">
        <f t="shared" si="85"/>
        <v>2023</v>
      </c>
      <c r="D193">
        <f t="shared" si="86"/>
        <v>36</v>
      </c>
      <c r="E193" s="37">
        <f t="shared" si="87"/>
        <v>0</v>
      </c>
      <c r="F193" s="37">
        <f t="shared" si="88"/>
        <v>0</v>
      </c>
      <c r="G193" s="37">
        <f t="shared" ca="1" si="89"/>
        <v>0.60000000000000031</v>
      </c>
      <c r="H193" s="37">
        <f t="shared" ca="1" si="90"/>
        <v>0.60000000000000031</v>
      </c>
      <c r="I193" s="37">
        <f t="shared" ca="1" si="91"/>
        <v>0.6</v>
      </c>
      <c r="J193" s="37">
        <f t="shared" ca="1" si="92"/>
        <v>0.59999999999999976</v>
      </c>
      <c r="K193" s="37">
        <f t="shared" ca="1" si="93"/>
        <v>0.59999999999999987</v>
      </c>
      <c r="L193" s="37">
        <f t="shared" ca="1" si="94"/>
        <v>0.6</v>
      </c>
      <c r="M193" s="37">
        <f t="shared" ca="1" si="95"/>
        <v>0.6</v>
      </c>
      <c r="N193" s="56">
        <f t="shared" si="96"/>
        <v>1</v>
      </c>
    </row>
    <row r="194" spans="3:14" x14ac:dyDescent="0.25">
      <c r="C194">
        <f t="shared" si="85"/>
        <v>2023</v>
      </c>
      <c r="D194">
        <f t="shared" si="86"/>
        <v>37</v>
      </c>
      <c r="E194" s="37">
        <f t="shared" si="87"/>
        <v>0</v>
      </c>
      <c r="F194" s="37">
        <f t="shared" si="88"/>
        <v>0</v>
      </c>
      <c r="G194" s="37">
        <f t="shared" ca="1" si="89"/>
        <v>0.60000000000000031</v>
      </c>
      <c r="H194" s="37">
        <f t="shared" ca="1" si="90"/>
        <v>0.60000000000000031</v>
      </c>
      <c r="I194" s="37">
        <f t="shared" ca="1" si="91"/>
        <v>0.6</v>
      </c>
      <c r="J194" s="37">
        <f t="shared" ca="1" si="92"/>
        <v>0.59999999999999976</v>
      </c>
      <c r="K194" s="37">
        <f t="shared" ca="1" si="93"/>
        <v>0.59999999999999987</v>
      </c>
      <c r="L194" s="37">
        <f t="shared" ca="1" si="94"/>
        <v>0.6</v>
      </c>
      <c r="M194" s="37">
        <f t="shared" ca="1" si="95"/>
        <v>0.6</v>
      </c>
      <c r="N194" s="56">
        <f t="shared" si="96"/>
        <v>1</v>
      </c>
    </row>
    <row r="195" spans="3:14" x14ac:dyDescent="0.25">
      <c r="C195">
        <f t="shared" si="85"/>
        <v>2023</v>
      </c>
      <c r="D195">
        <f t="shared" si="86"/>
        <v>38</v>
      </c>
      <c r="E195" s="37">
        <f t="shared" si="87"/>
        <v>0</v>
      </c>
      <c r="F195" s="37">
        <f t="shared" si="88"/>
        <v>0</v>
      </c>
      <c r="G195" s="37">
        <f t="shared" ca="1" si="89"/>
        <v>0.60000000000000031</v>
      </c>
      <c r="H195" s="37">
        <f t="shared" ca="1" si="90"/>
        <v>0.60000000000000031</v>
      </c>
      <c r="I195" s="37">
        <f t="shared" ca="1" si="91"/>
        <v>0.6</v>
      </c>
      <c r="J195" s="37">
        <f t="shared" ca="1" si="92"/>
        <v>0.59999999999999976</v>
      </c>
      <c r="K195" s="37">
        <f t="shared" ca="1" si="93"/>
        <v>0.59999999999999987</v>
      </c>
      <c r="L195" s="37">
        <f t="shared" ca="1" si="94"/>
        <v>0.6</v>
      </c>
      <c r="M195" s="37">
        <f t="shared" ca="1" si="95"/>
        <v>0.6</v>
      </c>
      <c r="N195" s="56">
        <f t="shared" si="96"/>
        <v>1</v>
      </c>
    </row>
    <row r="196" spans="3:14" x14ac:dyDescent="0.25">
      <c r="C196">
        <f t="shared" si="85"/>
        <v>2023</v>
      </c>
      <c r="D196">
        <f t="shared" si="86"/>
        <v>39</v>
      </c>
      <c r="E196" s="37">
        <f t="shared" si="87"/>
        <v>0</v>
      </c>
      <c r="F196" s="37">
        <f t="shared" si="88"/>
        <v>0</v>
      </c>
      <c r="G196" s="37">
        <f t="shared" ca="1" si="89"/>
        <v>0.60000000000000031</v>
      </c>
      <c r="H196" s="37">
        <f t="shared" ca="1" si="90"/>
        <v>0.60000000000000031</v>
      </c>
      <c r="I196" s="37">
        <f t="shared" ca="1" si="91"/>
        <v>0.6</v>
      </c>
      <c r="J196" s="37">
        <f t="shared" ca="1" si="92"/>
        <v>0.59999999999999976</v>
      </c>
      <c r="K196" s="37">
        <f t="shared" ca="1" si="93"/>
        <v>0.59999999999999987</v>
      </c>
      <c r="L196" s="37">
        <f t="shared" ca="1" si="94"/>
        <v>0.6</v>
      </c>
      <c r="M196" s="37">
        <f t="shared" ca="1" si="95"/>
        <v>0.6</v>
      </c>
      <c r="N196" s="56">
        <f t="shared" si="96"/>
        <v>1</v>
      </c>
    </row>
    <row r="197" spans="3:14" x14ac:dyDescent="0.25">
      <c r="C197">
        <f t="shared" si="85"/>
        <v>2023</v>
      </c>
      <c r="D197">
        <f t="shared" si="86"/>
        <v>40</v>
      </c>
      <c r="E197" s="37">
        <f t="shared" si="87"/>
        <v>0</v>
      </c>
      <c r="F197" s="37">
        <f t="shared" si="88"/>
        <v>0</v>
      </c>
      <c r="G197" s="37">
        <f t="shared" ca="1" si="89"/>
        <v>0.60000000000000031</v>
      </c>
      <c r="H197" s="37">
        <f t="shared" ca="1" si="90"/>
        <v>0.60000000000000031</v>
      </c>
      <c r="I197" s="37">
        <f t="shared" ca="1" si="91"/>
        <v>0.6</v>
      </c>
      <c r="J197" s="37">
        <f t="shared" ca="1" si="92"/>
        <v>0.59999999999999976</v>
      </c>
      <c r="K197" s="37">
        <f t="shared" ca="1" si="93"/>
        <v>0.59999999999999987</v>
      </c>
      <c r="L197" s="37">
        <f t="shared" ca="1" si="94"/>
        <v>0.6</v>
      </c>
      <c r="M197" s="37">
        <f t="shared" ca="1" si="95"/>
        <v>0.6</v>
      </c>
      <c r="N197" s="56">
        <f t="shared" si="96"/>
        <v>1</v>
      </c>
    </row>
    <row r="198" spans="3:14" x14ac:dyDescent="0.25">
      <c r="C198">
        <f t="shared" si="85"/>
        <v>2023</v>
      </c>
      <c r="D198">
        <f t="shared" si="86"/>
        <v>41</v>
      </c>
      <c r="E198" s="37">
        <f t="shared" si="87"/>
        <v>0</v>
      </c>
      <c r="F198" s="37">
        <f t="shared" si="88"/>
        <v>0</v>
      </c>
      <c r="G198" s="37">
        <f t="shared" ca="1" si="89"/>
        <v>0.60000000000000031</v>
      </c>
      <c r="H198" s="37">
        <f t="shared" ca="1" si="90"/>
        <v>0.60000000000000031</v>
      </c>
      <c r="I198" s="37">
        <f t="shared" ca="1" si="91"/>
        <v>0.6</v>
      </c>
      <c r="J198" s="37">
        <f t="shared" ca="1" si="92"/>
        <v>0.59999999999999976</v>
      </c>
      <c r="K198" s="37">
        <f t="shared" ca="1" si="93"/>
        <v>0.59999999999999987</v>
      </c>
      <c r="L198" s="37">
        <f t="shared" ca="1" si="94"/>
        <v>0.6</v>
      </c>
      <c r="M198" s="37">
        <f t="shared" ca="1" si="95"/>
        <v>0.6</v>
      </c>
      <c r="N198" s="56">
        <f t="shared" si="96"/>
        <v>1</v>
      </c>
    </row>
    <row r="199" spans="3:14" x14ac:dyDescent="0.25">
      <c r="C199">
        <f t="shared" si="85"/>
        <v>2023</v>
      </c>
      <c r="D199">
        <f t="shared" si="86"/>
        <v>42</v>
      </c>
      <c r="E199" s="37">
        <f t="shared" si="87"/>
        <v>0</v>
      </c>
      <c r="F199" s="37">
        <f t="shared" si="88"/>
        <v>0</v>
      </c>
      <c r="G199" s="37">
        <f t="shared" ca="1" si="89"/>
        <v>0.60000000000000031</v>
      </c>
      <c r="H199" s="37">
        <f t="shared" ca="1" si="90"/>
        <v>0.60000000000000031</v>
      </c>
      <c r="I199" s="37">
        <f t="shared" ca="1" si="91"/>
        <v>0.6</v>
      </c>
      <c r="J199" s="37">
        <f t="shared" ca="1" si="92"/>
        <v>0.59999999999999976</v>
      </c>
      <c r="K199" s="37">
        <f t="shared" ca="1" si="93"/>
        <v>0.59999999999999987</v>
      </c>
      <c r="L199" s="37">
        <f t="shared" ca="1" si="94"/>
        <v>0.6</v>
      </c>
      <c r="M199" s="37">
        <f t="shared" ca="1" si="95"/>
        <v>0.6</v>
      </c>
      <c r="N199" s="56">
        <f t="shared" si="96"/>
        <v>1</v>
      </c>
    </row>
    <row r="200" spans="3:14" x14ac:dyDescent="0.25">
      <c r="C200">
        <f t="shared" si="85"/>
        <v>2023</v>
      </c>
      <c r="D200">
        <f t="shared" si="86"/>
        <v>43</v>
      </c>
      <c r="E200" s="37">
        <f t="shared" si="87"/>
        <v>0</v>
      </c>
      <c r="F200" s="37">
        <f t="shared" si="88"/>
        <v>0</v>
      </c>
      <c r="G200" s="37">
        <f t="shared" ca="1" si="89"/>
        <v>0.60000000000000031</v>
      </c>
      <c r="H200" s="37">
        <f t="shared" ca="1" si="90"/>
        <v>0.60000000000000031</v>
      </c>
      <c r="I200" s="37">
        <f t="shared" ca="1" si="91"/>
        <v>0.6</v>
      </c>
      <c r="J200" s="37">
        <f t="shared" ca="1" si="92"/>
        <v>0.59999999999999976</v>
      </c>
      <c r="K200" s="37">
        <f t="shared" ca="1" si="93"/>
        <v>0.59999999999999987</v>
      </c>
      <c r="L200" s="37">
        <f t="shared" ca="1" si="94"/>
        <v>0.6</v>
      </c>
      <c r="M200" s="37">
        <f t="shared" ca="1" si="95"/>
        <v>0.6</v>
      </c>
      <c r="N200" s="56">
        <f t="shared" si="96"/>
        <v>1</v>
      </c>
    </row>
    <row r="201" spans="3:14" x14ac:dyDescent="0.25">
      <c r="C201">
        <f t="shared" si="85"/>
        <v>2023</v>
      </c>
      <c r="D201">
        <f t="shared" si="86"/>
        <v>44</v>
      </c>
      <c r="E201" s="37">
        <f t="shared" si="87"/>
        <v>0</v>
      </c>
      <c r="F201" s="37">
        <f t="shared" si="88"/>
        <v>0</v>
      </c>
      <c r="G201" s="37">
        <f t="shared" ca="1" si="89"/>
        <v>0.60000000000000031</v>
      </c>
      <c r="H201" s="37">
        <f t="shared" ca="1" si="90"/>
        <v>0.60000000000000031</v>
      </c>
      <c r="I201" s="37">
        <f t="shared" ca="1" si="91"/>
        <v>0.6</v>
      </c>
      <c r="J201" s="37">
        <f t="shared" ca="1" si="92"/>
        <v>0.59999999999999976</v>
      </c>
      <c r="K201" s="37">
        <f t="shared" ca="1" si="93"/>
        <v>0.59999999999999987</v>
      </c>
      <c r="L201" s="37">
        <f t="shared" ca="1" si="94"/>
        <v>0.6</v>
      </c>
      <c r="M201" s="37">
        <f t="shared" ca="1" si="95"/>
        <v>0.6</v>
      </c>
      <c r="N201" s="56">
        <f t="shared" si="96"/>
        <v>1</v>
      </c>
    </row>
    <row r="202" spans="3:14" x14ac:dyDescent="0.25">
      <c r="C202">
        <f t="shared" si="85"/>
        <v>2023</v>
      </c>
      <c r="D202">
        <f t="shared" si="86"/>
        <v>45</v>
      </c>
      <c r="E202" s="37">
        <f t="shared" si="87"/>
        <v>0</v>
      </c>
      <c r="F202" s="37">
        <f t="shared" si="88"/>
        <v>0</v>
      </c>
      <c r="G202" s="37">
        <f t="shared" ca="1" si="89"/>
        <v>0.60000000000000031</v>
      </c>
      <c r="H202" s="37">
        <f t="shared" ca="1" si="90"/>
        <v>0.60000000000000031</v>
      </c>
      <c r="I202" s="37">
        <f t="shared" ca="1" si="91"/>
        <v>0.6</v>
      </c>
      <c r="J202" s="37">
        <f t="shared" ca="1" si="92"/>
        <v>0.59999999999999976</v>
      </c>
      <c r="K202" s="37">
        <f t="shared" ca="1" si="93"/>
        <v>0.59999999999999987</v>
      </c>
      <c r="L202" s="37">
        <f t="shared" ca="1" si="94"/>
        <v>0.6</v>
      </c>
      <c r="M202" s="37">
        <f t="shared" ca="1" si="95"/>
        <v>0.6</v>
      </c>
      <c r="N202" s="56">
        <f t="shared" si="96"/>
        <v>1</v>
      </c>
    </row>
    <row r="203" spans="3:14" x14ac:dyDescent="0.25">
      <c r="C203">
        <f t="shared" si="85"/>
        <v>2023</v>
      </c>
      <c r="D203">
        <f t="shared" si="86"/>
        <v>46</v>
      </c>
      <c r="E203" s="37">
        <f t="shared" si="87"/>
        <v>0</v>
      </c>
      <c r="F203" s="37">
        <f t="shared" si="88"/>
        <v>0</v>
      </c>
      <c r="G203" s="37">
        <f t="shared" ca="1" si="89"/>
        <v>0.60000000000000031</v>
      </c>
      <c r="H203" s="37">
        <f t="shared" ca="1" si="90"/>
        <v>0.60000000000000031</v>
      </c>
      <c r="I203" s="37">
        <f t="shared" ca="1" si="91"/>
        <v>0.6</v>
      </c>
      <c r="J203" s="37">
        <f t="shared" ca="1" si="92"/>
        <v>0.59999999999999976</v>
      </c>
      <c r="K203" s="37">
        <f t="shared" ca="1" si="93"/>
        <v>0.59999999999999987</v>
      </c>
      <c r="L203" s="37">
        <f t="shared" ca="1" si="94"/>
        <v>0.6</v>
      </c>
      <c r="M203" s="37">
        <f t="shared" ca="1" si="95"/>
        <v>0.6</v>
      </c>
      <c r="N203" s="56">
        <f t="shared" si="96"/>
        <v>1</v>
      </c>
    </row>
    <row r="204" spans="3:14" x14ac:dyDescent="0.25">
      <c r="C204">
        <f t="shared" si="85"/>
        <v>2023</v>
      </c>
      <c r="D204">
        <f t="shared" si="86"/>
        <v>47</v>
      </c>
      <c r="E204" s="37">
        <f t="shared" si="87"/>
        <v>0</v>
      </c>
      <c r="F204" s="37">
        <f t="shared" si="88"/>
        <v>0</v>
      </c>
      <c r="G204" s="37">
        <f t="shared" ca="1" si="89"/>
        <v>0.60000000000000031</v>
      </c>
      <c r="H204" s="37">
        <f t="shared" ca="1" si="90"/>
        <v>0.60000000000000031</v>
      </c>
      <c r="I204" s="37">
        <f t="shared" ca="1" si="91"/>
        <v>0.6</v>
      </c>
      <c r="J204" s="37">
        <f t="shared" ca="1" si="92"/>
        <v>0.59999999999999976</v>
      </c>
      <c r="K204" s="37">
        <f t="shared" ca="1" si="93"/>
        <v>0.59999999999999987</v>
      </c>
      <c r="L204" s="37">
        <f t="shared" ca="1" si="94"/>
        <v>0.6</v>
      </c>
      <c r="M204" s="37">
        <f t="shared" ca="1" si="95"/>
        <v>0.6</v>
      </c>
      <c r="N204" s="56">
        <f t="shared" si="96"/>
        <v>1</v>
      </c>
    </row>
    <row r="205" spans="3:14" x14ac:dyDescent="0.25">
      <c r="C205">
        <f t="shared" si="85"/>
        <v>2023</v>
      </c>
      <c r="D205">
        <f t="shared" si="86"/>
        <v>48</v>
      </c>
      <c r="E205" s="37">
        <f t="shared" si="87"/>
        <v>0</v>
      </c>
      <c r="F205" s="37">
        <f t="shared" si="88"/>
        <v>0</v>
      </c>
      <c r="G205" s="37">
        <f t="shared" ca="1" si="89"/>
        <v>0.60000000000000031</v>
      </c>
      <c r="H205" s="37">
        <f t="shared" ca="1" si="90"/>
        <v>0.60000000000000031</v>
      </c>
      <c r="I205" s="37">
        <f t="shared" ca="1" si="91"/>
        <v>0.6</v>
      </c>
      <c r="J205" s="37">
        <f t="shared" ca="1" si="92"/>
        <v>0.59999999999999976</v>
      </c>
      <c r="K205" s="37">
        <f t="shared" ca="1" si="93"/>
        <v>0.59999999999999987</v>
      </c>
      <c r="L205" s="37">
        <f t="shared" ca="1" si="94"/>
        <v>0.6</v>
      </c>
      <c r="M205" s="37">
        <f t="shared" ca="1" si="95"/>
        <v>0.6</v>
      </c>
      <c r="N205" s="56">
        <f t="shared" si="96"/>
        <v>1</v>
      </c>
    </row>
    <row r="206" spans="3:14" x14ac:dyDescent="0.25">
      <c r="C206">
        <f t="shared" si="85"/>
        <v>2023</v>
      </c>
      <c r="D206">
        <f t="shared" si="86"/>
        <v>49</v>
      </c>
      <c r="E206" s="37">
        <f t="shared" si="87"/>
        <v>0</v>
      </c>
      <c r="F206" s="37">
        <f t="shared" si="88"/>
        <v>0</v>
      </c>
      <c r="G206" s="37">
        <f t="shared" ca="1" si="89"/>
        <v>0.60000000000000031</v>
      </c>
      <c r="H206" s="37">
        <f t="shared" ca="1" si="90"/>
        <v>0.60000000000000031</v>
      </c>
      <c r="I206" s="37">
        <f t="shared" ca="1" si="91"/>
        <v>0.6</v>
      </c>
      <c r="J206" s="37">
        <f t="shared" ca="1" si="92"/>
        <v>0.59999999999999976</v>
      </c>
      <c r="K206" s="37">
        <f t="shared" ca="1" si="93"/>
        <v>0.59999999999999987</v>
      </c>
      <c r="L206" s="37">
        <f t="shared" ca="1" si="94"/>
        <v>0.6</v>
      </c>
      <c r="M206" s="37">
        <f t="shared" ca="1" si="95"/>
        <v>0.6</v>
      </c>
      <c r="N206" s="56">
        <f t="shared" si="96"/>
        <v>1</v>
      </c>
    </row>
    <row r="207" spans="3:14" x14ac:dyDescent="0.25">
      <c r="C207">
        <f t="shared" si="85"/>
        <v>2023</v>
      </c>
      <c r="D207">
        <f t="shared" si="86"/>
        <v>50</v>
      </c>
      <c r="E207" s="37">
        <f t="shared" si="87"/>
        <v>0</v>
      </c>
      <c r="F207" s="37">
        <f t="shared" si="88"/>
        <v>0</v>
      </c>
      <c r="G207" s="37">
        <f t="shared" ca="1" si="89"/>
        <v>0.60000000000000031</v>
      </c>
      <c r="H207" s="37">
        <f t="shared" ca="1" si="90"/>
        <v>0.60000000000000031</v>
      </c>
      <c r="I207" s="37">
        <f t="shared" ca="1" si="91"/>
        <v>0.6</v>
      </c>
      <c r="J207" s="37">
        <f t="shared" ca="1" si="92"/>
        <v>0.59999999999999976</v>
      </c>
      <c r="K207" s="37">
        <f t="shared" ca="1" si="93"/>
        <v>0.59999999999999987</v>
      </c>
      <c r="L207" s="37">
        <f t="shared" ca="1" si="94"/>
        <v>0.6</v>
      </c>
      <c r="M207" s="37">
        <f t="shared" ca="1" si="95"/>
        <v>0.6</v>
      </c>
      <c r="N207" s="56">
        <f t="shared" si="96"/>
        <v>1</v>
      </c>
    </row>
    <row r="208" spans="3:14" x14ac:dyDescent="0.25">
      <c r="C208">
        <f t="shared" si="85"/>
        <v>2023</v>
      </c>
      <c r="D208">
        <f t="shared" si="86"/>
        <v>51</v>
      </c>
      <c r="E208" s="37">
        <f t="shared" si="87"/>
        <v>0</v>
      </c>
      <c r="F208" s="37">
        <f t="shared" si="88"/>
        <v>0</v>
      </c>
      <c r="G208" s="37">
        <f t="shared" ca="1" si="89"/>
        <v>0.60000000000000031</v>
      </c>
      <c r="H208" s="37">
        <f t="shared" ca="1" si="90"/>
        <v>0.60000000000000031</v>
      </c>
      <c r="I208" s="37">
        <f t="shared" ca="1" si="91"/>
        <v>0.6</v>
      </c>
      <c r="J208" s="37">
        <f t="shared" ca="1" si="92"/>
        <v>0.59999999999999976</v>
      </c>
      <c r="K208" s="37">
        <f t="shared" ca="1" si="93"/>
        <v>0.59999999999999987</v>
      </c>
      <c r="L208" s="37">
        <f t="shared" ca="1" si="94"/>
        <v>0.6</v>
      </c>
      <c r="M208" s="37">
        <f t="shared" ca="1" si="95"/>
        <v>0.6</v>
      </c>
      <c r="N208" s="56">
        <f t="shared" si="96"/>
        <v>1</v>
      </c>
    </row>
    <row r="209" spans="3:14" x14ac:dyDescent="0.25">
      <c r="C209">
        <f t="shared" si="85"/>
        <v>2023</v>
      </c>
      <c r="D209">
        <f t="shared" si="86"/>
        <v>52</v>
      </c>
      <c r="E209" s="37">
        <f t="shared" si="87"/>
        <v>0</v>
      </c>
      <c r="F209" s="37">
        <f t="shared" si="88"/>
        <v>0</v>
      </c>
      <c r="G209" s="37">
        <f t="shared" ca="1" si="89"/>
        <v>0.60000000000000031</v>
      </c>
      <c r="H209" s="37">
        <f t="shared" ca="1" si="90"/>
        <v>0.60000000000000031</v>
      </c>
      <c r="I209" s="37">
        <f t="shared" ca="1" si="91"/>
        <v>0.6</v>
      </c>
      <c r="J209" s="37">
        <f t="shared" ca="1" si="92"/>
        <v>0.59999999999999976</v>
      </c>
      <c r="K209" s="37">
        <f t="shared" ca="1" si="93"/>
        <v>0.59999999999999987</v>
      </c>
      <c r="L209" s="37">
        <f t="shared" ca="1" si="94"/>
        <v>0.6</v>
      </c>
      <c r="M209" s="37">
        <f t="shared" ca="1" si="95"/>
        <v>0.6</v>
      </c>
      <c r="N209" s="56">
        <f t="shared" si="96"/>
        <v>1</v>
      </c>
    </row>
    <row r="210" spans="3:14" x14ac:dyDescent="0.25">
      <c r="C210">
        <f>+C209+1</f>
        <v>2024</v>
      </c>
      <c r="D210">
        <f t="shared" si="86"/>
        <v>1</v>
      </c>
      <c r="E210" s="37">
        <f t="shared" si="87"/>
        <v>0</v>
      </c>
      <c r="F210" s="37">
        <f t="shared" si="88"/>
        <v>0</v>
      </c>
      <c r="G210" s="37">
        <f t="shared" ca="1" si="89"/>
        <v>0.60000000000000031</v>
      </c>
      <c r="H210" s="37">
        <f t="shared" ca="1" si="90"/>
        <v>0.60000000000000031</v>
      </c>
      <c r="I210" s="37">
        <f t="shared" ca="1" si="91"/>
        <v>0.6</v>
      </c>
      <c r="J210" s="37">
        <f t="shared" ca="1" si="92"/>
        <v>0.59999999999999976</v>
      </c>
      <c r="K210" s="37">
        <f t="shared" ca="1" si="93"/>
        <v>0.59999999999999987</v>
      </c>
      <c r="L210" s="37">
        <f t="shared" ca="1" si="94"/>
        <v>0.6</v>
      </c>
      <c r="M210" s="37">
        <f t="shared" ca="1" si="95"/>
        <v>0.6</v>
      </c>
      <c r="N210" s="56">
        <f t="shared" si="96"/>
        <v>1</v>
      </c>
    </row>
    <row r="211" spans="3:14" x14ac:dyDescent="0.25">
      <c r="C211">
        <f>+C210</f>
        <v>2024</v>
      </c>
      <c r="D211">
        <f t="shared" si="86"/>
        <v>2</v>
      </c>
      <c r="E211" s="37">
        <f t="shared" si="87"/>
        <v>0</v>
      </c>
      <c r="F211" s="37">
        <f t="shared" si="88"/>
        <v>0</v>
      </c>
      <c r="G211" s="37">
        <f t="shared" ca="1" si="89"/>
        <v>0.60000000000000031</v>
      </c>
      <c r="H211" s="37">
        <f t="shared" ca="1" si="90"/>
        <v>0.60000000000000031</v>
      </c>
      <c r="I211" s="37">
        <f t="shared" ca="1" si="91"/>
        <v>0.6</v>
      </c>
      <c r="J211" s="37">
        <f t="shared" ca="1" si="92"/>
        <v>0.59999999999999976</v>
      </c>
      <c r="K211" s="37">
        <f t="shared" ca="1" si="93"/>
        <v>0.59999999999999987</v>
      </c>
      <c r="L211" s="37">
        <f t="shared" ca="1" si="94"/>
        <v>0.6</v>
      </c>
      <c r="M211" s="37">
        <f t="shared" ca="1" si="95"/>
        <v>0.6</v>
      </c>
      <c r="N211" s="56">
        <f t="shared" si="96"/>
        <v>1</v>
      </c>
    </row>
    <row r="212" spans="3:14" x14ac:dyDescent="0.25">
      <c r="C212">
        <f t="shared" ref="C212:C261" si="97">+C211</f>
        <v>2024</v>
      </c>
      <c r="D212">
        <f t="shared" si="86"/>
        <v>3</v>
      </c>
      <c r="E212" s="37">
        <f t="shared" si="87"/>
        <v>0</v>
      </c>
      <c r="F212" s="37">
        <f t="shared" si="88"/>
        <v>0</v>
      </c>
      <c r="G212" s="37">
        <f t="shared" ca="1" si="89"/>
        <v>0.60000000000000031</v>
      </c>
      <c r="H212" s="37">
        <f t="shared" ca="1" si="90"/>
        <v>0.60000000000000031</v>
      </c>
      <c r="I212" s="37">
        <f t="shared" ca="1" si="91"/>
        <v>0.6</v>
      </c>
      <c r="J212" s="37">
        <f t="shared" ca="1" si="92"/>
        <v>0.59999999999999976</v>
      </c>
      <c r="K212" s="37">
        <f t="shared" ca="1" si="93"/>
        <v>0.59999999999999987</v>
      </c>
      <c r="L212" s="37">
        <f t="shared" ca="1" si="94"/>
        <v>0.6</v>
      </c>
      <c r="M212" s="37">
        <f t="shared" ca="1" si="95"/>
        <v>0.6</v>
      </c>
      <c r="N212" s="56">
        <f t="shared" si="96"/>
        <v>1</v>
      </c>
    </row>
    <row r="213" spans="3:14" x14ac:dyDescent="0.25">
      <c r="C213">
        <f t="shared" si="97"/>
        <v>2024</v>
      </c>
      <c r="D213">
        <f t="shared" si="86"/>
        <v>4</v>
      </c>
      <c r="E213" s="37">
        <f t="shared" si="87"/>
        <v>0</v>
      </c>
      <c r="F213" s="37">
        <f t="shared" si="88"/>
        <v>0</v>
      </c>
      <c r="G213" s="37">
        <f t="shared" ca="1" si="89"/>
        <v>0.60000000000000031</v>
      </c>
      <c r="H213" s="37">
        <f t="shared" ca="1" si="90"/>
        <v>0.60000000000000031</v>
      </c>
      <c r="I213" s="37">
        <f t="shared" ca="1" si="91"/>
        <v>0.6</v>
      </c>
      <c r="J213" s="37">
        <f t="shared" ca="1" si="92"/>
        <v>0.59999999999999976</v>
      </c>
      <c r="K213" s="37">
        <f t="shared" ca="1" si="93"/>
        <v>0.59999999999999987</v>
      </c>
      <c r="L213" s="37">
        <f t="shared" ca="1" si="94"/>
        <v>0.6</v>
      </c>
      <c r="M213" s="37">
        <f t="shared" ca="1" si="95"/>
        <v>0.6</v>
      </c>
      <c r="N213" s="56">
        <f t="shared" si="96"/>
        <v>1</v>
      </c>
    </row>
    <row r="214" spans="3:14" x14ac:dyDescent="0.25">
      <c r="C214">
        <f t="shared" si="97"/>
        <v>2024</v>
      </c>
      <c r="D214">
        <f t="shared" si="86"/>
        <v>5</v>
      </c>
      <c r="E214" s="37">
        <f t="shared" si="87"/>
        <v>0</v>
      </c>
      <c r="F214" s="37">
        <f t="shared" si="88"/>
        <v>0</v>
      </c>
      <c r="G214" s="37">
        <f t="shared" ca="1" si="89"/>
        <v>0.60000000000000031</v>
      </c>
      <c r="H214" s="37">
        <f t="shared" ca="1" si="90"/>
        <v>0.60000000000000031</v>
      </c>
      <c r="I214" s="37">
        <f t="shared" ca="1" si="91"/>
        <v>0.6</v>
      </c>
      <c r="J214" s="37">
        <f t="shared" ca="1" si="92"/>
        <v>0.59999999999999976</v>
      </c>
      <c r="K214" s="37">
        <f t="shared" ca="1" si="93"/>
        <v>0.59999999999999987</v>
      </c>
      <c r="L214" s="37">
        <f t="shared" ca="1" si="94"/>
        <v>0.6</v>
      </c>
      <c r="M214" s="37">
        <f t="shared" ca="1" si="95"/>
        <v>0.6</v>
      </c>
      <c r="N214" s="56">
        <f t="shared" si="96"/>
        <v>1</v>
      </c>
    </row>
    <row r="215" spans="3:14" x14ac:dyDescent="0.25">
      <c r="C215">
        <f t="shared" si="97"/>
        <v>2024</v>
      </c>
      <c r="D215">
        <f t="shared" si="86"/>
        <v>6</v>
      </c>
      <c r="E215" s="37">
        <f t="shared" si="87"/>
        <v>0</v>
      </c>
      <c r="F215" s="37">
        <f t="shared" si="88"/>
        <v>0</v>
      </c>
      <c r="G215" s="37">
        <f t="shared" ca="1" si="89"/>
        <v>0.60000000000000031</v>
      </c>
      <c r="H215" s="37">
        <f t="shared" ca="1" si="90"/>
        <v>0.60000000000000031</v>
      </c>
      <c r="I215" s="37">
        <f t="shared" ca="1" si="91"/>
        <v>0.6</v>
      </c>
      <c r="J215" s="37">
        <f t="shared" ca="1" si="92"/>
        <v>0.59999999999999976</v>
      </c>
      <c r="K215" s="37">
        <f t="shared" ca="1" si="93"/>
        <v>0.59999999999999987</v>
      </c>
      <c r="L215" s="37">
        <f t="shared" ca="1" si="94"/>
        <v>0.6</v>
      </c>
      <c r="M215" s="37">
        <f t="shared" ca="1" si="95"/>
        <v>0.6</v>
      </c>
      <c r="N215" s="56">
        <f t="shared" si="96"/>
        <v>1</v>
      </c>
    </row>
    <row r="216" spans="3:14" x14ac:dyDescent="0.25">
      <c r="C216">
        <f t="shared" si="97"/>
        <v>2024</v>
      </c>
      <c r="D216">
        <f t="shared" si="86"/>
        <v>7</v>
      </c>
      <c r="E216" s="37">
        <f t="shared" si="87"/>
        <v>0</v>
      </c>
      <c r="F216" s="37">
        <f t="shared" si="88"/>
        <v>0</v>
      </c>
      <c r="G216" s="37">
        <f t="shared" ca="1" si="89"/>
        <v>0.60000000000000031</v>
      </c>
      <c r="H216" s="37">
        <f t="shared" ca="1" si="90"/>
        <v>0.60000000000000031</v>
      </c>
      <c r="I216" s="37">
        <f t="shared" ca="1" si="91"/>
        <v>0.6</v>
      </c>
      <c r="J216" s="37">
        <f t="shared" ca="1" si="92"/>
        <v>0.59999999999999976</v>
      </c>
      <c r="K216" s="37">
        <f t="shared" ca="1" si="93"/>
        <v>0.59999999999999987</v>
      </c>
      <c r="L216" s="37">
        <f t="shared" ca="1" si="94"/>
        <v>0.6</v>
      </c>
      <c r="M216" s="37">
        <f t="shared" ca="1" si="95"/>
        <v>0.6</v>
      </c>
      <c r="N216" s="56">
        <f t="shared" si="96"/>
        <v>1</v>
      </c>
    </row>
    <row r="217" spans="3:14" x14ac:dyDescent="0.25">
      <c r="C217">
        <f t="shared" si="97"/>
        <v>2024</v>
      </c>
      <c r="D217">
        <f t="shared" si="86"/>
        <v>8</v>
      </c>
      <c r="E217" s="37">
        <f t="shared" si="87"/>
        <v>0</v>
      </c>
      <c r="F217" s="37">
        <f t="shared" si="88"/>
        <v>0</v>
      </c>
      <c r="G217" s="37">
        <f t="shared" ca="1" si="89"/>
        <v>0.60000000000000031</v>
      </c>
      <c r="H217" s="37">
        <f t="shared" ca="1" si="90"/>
        <v>0.60000000000000031</v>
      </c>
      <c r="I217" s="37">
        <f t="shared" ca="1" si="91"/>
        <v>0.6</v>
      </c>
      <c r="J217" s="37">
        <f t="shared" ca="1" si="92"/>
        <v>0.59999999999999976</v>
      </c>
      <c r="K217" s="37">
        <f t="shared" ca="1" si="93"/>
        <v>0.59999999999999987</v>
      </c>
      <c r="L217" s="37">
        <f t="shared" ca="1" si="94"/>
        <v>0.6</v>
      </c>
      <c r="M217" s="37">
        <f t="shared" ca="1" si="95"/>
        <v>0.6</v>
      </c>
      <c r="N217" s="56">
        <f t="shared" si="96"/>
        <v>1</v>
      </c>
    </row>
    <row r="218" spans="3:14" x14ac:dyDescent="0.25">
      <c r="C218">
        <f t="shared" si="97"/>
        <v>2024</v>
      </c>
      <c r="D218">
        <f t="shared" si="86"/>
        <v>9</v>
      </c>
      <c r="E218" s="37">
        <f t="shared" si="87"/>
        <v>0</v>
      </c>
      <c r="F218" s="37">
        <f t="shared" si="88"/>
        <v>0</v>
      </c>
      <c r="G218" s="37">
        <f t="shared" ca="1" si="89"/>
        <v>0.60000000000000031</v>
      </c>
      <c r="H218" s="37">
        <f t="shared" ca="1" si="90"/>
        <v>0.60000000000000031</v>
      </c>
      <c r="I218" s="37">
        <f t="shared" ca="1" si="91"/>
        <v>0.6</v>
      </c>
      <c r="J218" s="37">
        <f t="shared" ca="1" si="92"/>
        <v>0.59999999999999976</v>
      </c>
      <c r="K218" s="37">
        <f t="shared" ca="1" si="93"/>
        <v>0.59999999999999987</v>
      </c>
      <c r="L218" s="37">
        <f t="shared" ca="1" si="94"/>
        <v>0.6</v>
      </c>
      <c r="M218" s="37">
        <f t="shared" ca="1" si="95"/>
        <v>0.6</v>
      </c>
      <c r="N218" s="56">
        <f t="shared" si="96"/>
        <v>1</v>
      </c>
    </row>
    <row r="219" spans="3:14" x14ac:dyDescent="0.25">
      <c r="C219">
        <f t="shared" si="97"/>
        <v>2024</v>
      </c>
      <c r="D219">
        <f t="shared" si="86"/>
        <v>10</v>
      </c>
      <c r="E219" s="37">
        <f t="shared" si="87"/>
        <v>0</v>
      </c>
      <c r="F219" s="37">
        <f t="shared" si="88"/>
        <v>0</v>
      </c>
      <c r="G219" s="37">
        <f t="shared" ca="1" si="89"/>
        <v>0.60000000000000031</v>
      </c>
      <c r="H219" s="37">
        <f t="shared" ca="1" si="90"/>
        <v>0.60000000000000031</v>
      </c>
      <c r="I219" s="37">
        <f t="shared" ca="1" si="91"/>
        <v>0.6</v>
      </c>
      <c r="J219" s="37">
        <f t="shared" ca="1" si="92"/>
        <v>0.59999999999999976</v>
      </c>
      <c r="K219" s="37">
        <f t="shared" ca="1" si="93"/>
        <v>0.59999999999999987</v>
      </c>
      <c r="L219" s="37">
        <f t="shared" ca="1" si="94"/>
        <v>0.6</v>
      </c>
      <c r="M219" s="37">
        <f t="shared" ca="1" si="95"/>
        <v>0.6</v>
      </c>
      <c r="N219" s="56">
        <f t="shared" si="96"/>
        <v>1</v>
      </c>
    </row>
    <row r="220" spans="3:14" x14ac:dyDescent="0.25">
      <c r="C220">
        <f t="shared" si="97"/>
        <v>2024</v>
      </c>
      <c r="D220">
        <f t="shared" si="86"/>
        <v>11</v>
      </c>
      <c r="E220" s="37">
        <f t="shared" si="87"/>
        <v>0</v>
      </c>
      <c r="F220" s="37">
        <f t="shared" si="88"/>
        <v>0</v>
      </c>
      <c r="G220" s="37">
        <f t="shared" ca="1" si="89"/>
        <v>0.60000000000000031</v>
      </c>
      <c r="H220" s="37">
        <f t="shared" ca="1" si="90"/>
        <v>0.60000000000000031</v>
      </c>
      <c r="I220" s="37">
        <f t="shared" ca="1" si="91"/>
        <v>0.6</v>
      </c>
      <c r="J220" s="37">
        <f t="shared" ca="1" si="92"/>
        <v>0.59999999999999976</v>
      </c>
      <c r="K220" s="37">
        <f t="shared" ca="1" si="93"/>
        <v>0.59999999999999987</v>
      </c>
      <c r="L220" s="37">
        <f t="shared" ca="1" si="94"/>
        <v>0.6</v>
      </c>
      <c r="M220" s="37">
        <f t="shared" ca="1" si="95"/>
        <v>0.6</v>
      </c>
      <c r="N220" s="56">
        <f t="shared" si="96"/>
        <v>1</v>
      </c>
    </row>
    <row r="221" spans="3:14" x14ac:dyDescent="0.25">
      <c r="C221">
        <f t="shared" si="97"/>
        <v>2024</v>
      </c>
      <c r="D221">
        <f t="shared" si="86"/>
        <v>12</v>
      </c>
      <c r="E221" s="37">
        <f t="shared" si="87"/>
        <v>0</v>
      </c>
      <c r="F221" s="37">
        <f t="shared" si="88"/>
        <v>0</v>
      </c>
      <c r="G221" s="37">
        <f t="shared" ca="1" si="89"/>
        <v>0.60000000000000031</v>
      </c>
      <c r="H221" s="37">
        <f t="shared" ca="1" si="90"/>
        <v>0.60000000000000031</v>
      </c>
      <c r="I221" s="37">
        <f t="shared" ca="1" si="91"/>
        <v>0.6</v>
      </c>
      <c r="J221" s="37">
        <f t="shared" ca="1" si="92"/>
        <v>0.59999999999999976</v>
      </c>
      <c r="K221" s="37">
        <f t="shared" ca="1" si="93"/>
        <v>0.59999999999999987</v>
      </c>
      <c r="L221" s="37">
        <f t="shared" ca="1" si="94"/>
        <v>0.6</v>
      </c>
      <c r="M221" s="37">
        <f t="shared" ca="1" si="95"/>
        <v>0.6</v>
      </c>
      <c r="N221" s="56">
        <f t="shared" si="96"/>
        <v>1</v>
      </c>
    </row>
    <row r="222" spans="3:14" x14ac:dyDescent="0.25">
      <c r="C222">
        <f t="shared" si="97"/>
        <v>2024</v>
      </c>
      <c r="D222">
        <f t="shared" si="86"/>
        <v>13</v>
      </c>
      <c r="E222" s="37">
        <f t="shared" si="87"/>
        <v>0</v>
      </c>
      <c r="F222" s="37">
        <f t="shared" si="88"/>
        <v>0</v>
      </c>
      <c r="G222" s="37">
        <f t="shared" ca="1" si="89"/>
        <v>0.60000000000000031</v>
      </c>
      <c r="H222" s="37">
        <f t="shared" ca="1" si="90"/>
        <v>0.60000000000000031</v>
      </c>
      <c r="I222" s="37">
        <f t="shared" ca="1" si="91"/>
        <v>0.6</v>
      </c>
      <c r="J222" s="37">
        <f t="shared" ca="1" si="92"/>
        <v>0.59999999999999976</v>
      </c>
      <c r="K222" s="37">
        <f t="shared" ca="1" si="93"/>
        <v>0.59999999999999987</v>
      </c>
      <c r="L222" s="37">
        <f t="shared" ca="1" si="94"/>
        <v>0.6</v>
      </c>
      <c r="M222" s="37">
        <f t="shared" ca="1" si="95"/>
        <v>0.6</v>
      </c>
      <c r="N222" s="56">
        <f t="shared" si="96"/>
        <v>1</v>
      </c>
    </row>
    <row r="223" spans="3:14" x14ac:dyDescent="0.25">
      <c r="C223">
        <f t="shared" si="97"/>
        <v>2024</v>
      </c>
      <c r="D223">
        <f t="shared" si="86"/>
        <v>14</v>
      </c>
      <c r="E223" s="37">
        <f t="shared" si="87"/>
        <v>0</v>
      </c>
      <c r="F223" s="37">
        <f t="shared" si="88"/>
        <v>0</v>
      </c>
      <c r="G223" s="37">
        <f t="shared" ca="1" si="89"/>
        <v>0.60000000000000031</v>
      </c>
      <c r="H223" s="37">
        <f t="shared" ca="1" si="90"/>
        <v>0.60000000000000031</v>
      </c>
      <c r="I223" s="37">
        <f t="shared" ca="1" si="91"/>
        <v>0.6</v>
      </c>
      <c r="J223" s="37">
        <f t="shared" ca="1" si="92"/>
        <v>0.59999999999999976</v>
      </c>
      <c r="K223" s="37">
        <f t="shared" ca="1" si="93"/>
        <v>0.59999999999999987</v>
      </c>
      <c r="L223" s="37">
        <f t="shared" ca="1" si="94"/>
        <v>0.6</v>
      </c>
      <c r="M223" s="37">
        <f t="shared" ca="1" si="95"/>
        <v>0.6</v>
      </c>
      <c r="N223" s="56">
        <f t="shared" si="96"/>
        <v>1</v>
      </c>
    </row>
    <row r="224" spans="3:14" x14ac:dyDescent="0.25">
      <c r="C224">
        <f t="shared" si="97"/>
        <v>2024</v>
      </c>
      <c r="D224">
        <f t="shared" si="86"/>
        <v>15</v>
      </c>
      <c r="E224" s="37">
        <f t="shared" si="87"/>
        <v>0</v>
      </c>
      <c r="F224" s="37">
        <f t="shared" si="88"/>
        <v>0</v>
      </c>
      <c r="G224" s="37">
        <f t="shared" ca="1" si="89"/>
        <v>0.60000000000000031</v>
      </c>
      <c r="H224" s="37">
        <f t="shared" ca="1" si="90"/>
        <v>0.60000000000000031</v>
      </c>
      <c r="I224" s="37">
        <f t="shared" ca="1" si="91"/>
        <v>0.6</v>
      </c>
      <c r="J224" s="37">
        <f t="shared" ca="1" si="92"/>
        <v>0.59999999999999976</v>
      </c>
      <c r="K224" s="37">
        <f t="shared" ca="1" si="93"/>
        <v>0.59999999999999987</v>
      </c>
      <c r="L224" s="37">
        <f t="shared" ca="1" si="94"/>
        <v>0.6</v>
      </c>
      <c r="M224" s="37">
        <f t="shared" ca="1" si="95"/>
        <v>0.6</v>
      </c>
      <c r="N224" s="56">
        <f t="shared" si="96"/>
        <v>1</v>
      </c>
    </row>
    <row r="225" spans="3:14" x14ac:dyDescent="0.25">
      <c r="C225">
        <f t="shared" si="97"/>
        <v>2024</v>
      </c>
      <c r="D225">
        <f t="shared" si="86"/>
        <v>16</v>
      </c>
      <c r="E225" s="37">
        <f t="shared" si="87"/>
        <v>0</v>
      </c>
      <c r="F225" s="37">
        <f t="shared" si="88"/>
        <v>0</v>
      </c>
      <c r="G225" s="37">
        <f t="shared" ca="1" si="89"/>
        <v>0.60000000000000031</v>
      </c>
      <c r="H225" s="37">
        <f t="shared" ca="1" si="90"/>
        <v>0.60000000000000031</v>
      </c>
      <c r="I225" s="37">
        <f t="shared" ca="1" si="91"/>
        <v>0.6</v>
      </c>
      <c r="J225" s="37">
        <f t="shared" ca="1" si="92"/>
        <v>0.59999999999999976</v>
      </c>
      <c r="K225" s="37">
        <f t="shared" ca="1" si="93"/>
        <v>0.59999999999999987</v>
      </c>
      <c r="L225" s="37">
        <f t="shared" ca="1" si="94"/>
        <v>0.6</v>
      </c>
      <c r="M225" s="37">
        <f t="shared" ca="1" si="95"/>
        <v>0.6</v>
      </c>
      <c r="N225" s="56">
        <f t="shared" si="96"/>
        <v>1</v>
      </c>
    </row>
    <row r="226" spans="3:14" x14ac:dyDescent="0.25">
      <c r="C226">
        <f t="shared" si="97"/>
        <v>2024</v>
      </c>
      <c r="D226">
        <f t="shared" si="86"/>
        <v>17</v>
      </c>
      <c r="E226" s="37">
        <f t="shared" si="87"/>
        <v>0</v>
      </c>
      <c r="F226" s="37">
        <f t="shared" si="88"/>
        <v>0</v>
      </c>
      <c r="G226" s="37">
        <f t="shared" ca="1" si="89"/>
        <v>0.60000000000000031</v>
      </c>
      <c r="H226" s="37">
        <f t="shared" ca="1" si="90"/>
        <v>0.60000000000000031</v>
      </c>
      <c r="I226" s="37">
        <f t="shared" ca="1" si="91"/>
        <v>0.6</v>
      </c>
      <c r="J226" s="37">
        <f t="shared" ca="1" si="92"/>
        <v>0.59999999999999976</v>
      </c>
      <c r="K226" s="37">
        <f t="shared" ca="1" si="93"/>
        <v>0.59999999999999987</v>
      </c>
      <c r="L226" s="37">
        <f t="shared" ca="1" si="94"/>
        <v>0.6</v>
      </c>
      <c r="M226" s="37">
        <f t="shared" ca="1" si="95"/>
        <v>0.6</v>
      </c>
      <c r="N226" s="56">
        <f t="shared" si="96"/>
        <v>1</v>
      </c>
    </row>
    <row r="227" spans="3:14" x14ac:dyDescent="0.25">
      <c r="C227">
        <f t="shared" si="97"/>
        <v>2024</v>
      </c>
      <c r="D227">
        <f t="shared" si="86"/>
        <v>18</v>
      </c>
      <c r="E227" s="37">
        <f t="shared" si="87"/>
        <v>0</v>
      </c>
      <c r="F227" s="37">
        <f t="shared" si="88"/>
        <v>0</v>
      </c>
      <c r="G227" s="37">
        <f t="shared" ca="1" si="89"/>
        <v>0.60000000000000031</v>
      </c>
      <c r="H227" s="37">
        <f t="shared" ca="1" si="90"/>
        <v>0.60000000000000031</v>
      </c>
      <c r="I227" s="37">
        <f t="shared" ca="1" si="91"/>
        <v>0.6</v>
      </c>
      <c r="J227" s="37">
        <f t="shared" ca="1" si="92"/>
        <v>0.59999999999999976</v>
      </c>
      <c r="K227" s="37">
        <f t="shared" ca="1" si="93"/>
        <v>0.59999999999999987</v>
      </c>
      <c r="L227" s="37">
        <f t="shared" ca="1" si="94"/>
        <v>0.6</v>
      </c>
      <c r="M227" s="37">
        <f t="shared" ca="1" si="95"/>
        <v>0.6</v>
      </c>
      <c r="N227" s="56">
        <f t="shared" si="96"/>
        <v>1</v>
      </c>
    </row>
    <row r="228" spans="3:14" x14ac:dyDescent="0.25">
      <c r="C228">
        <f t="shared" si="97"/>
        <v>2024</v>
      </c>
      <c r="D228">
        <f t="shared" si="86"/>
        <v>19</v>
      </c>
      <c r="E228" s="37">
        <f t="shared" si="87"/>
        <v>0</v>
      </c>
      <c r="F228" s="37">
        <f t="shared" si="88"/>
        <v>0</v>
      </c>
      <c r="G228" s="37">
        <f t="shared" ca="1" si="89"/>
        <v>0.60000000000000031</v>
      </c>
      <c r="H228" s="37">
        <f t="shared" ca="1" si="90"/>
        <v>0.60000000000000031</v>
      </c>
      <c r="I228" s="37">
        <f t="shared" ca="1" si="91"/>
        <v>0.6</v>
      </c>
      <c r="J228" s="37">
        <f t="shared" ca="1" si="92"/>
        <v>0.59999999999999976</v>
      </c>
      <c r="K228" s="37">
        <f t="shared" ca="1" si="93"/>
        <v>0.59999999999999987</v>
      </c>
      <c r="L228" s="37">
        <f t="shared" ca="1" si="94"/>
        <v>0.6</v>
      </c>
      <c r="M228" s="37">
        <f t="shared" ca="1" si="95"/>
        <v>0.6</v>
      </c>
      <c r="N228" s="56">
        <f t="shared" si="96"/>
        <v>1</v>
      </c>
    </row>
    <row r="229" spans="3:14" x14ac:dyDescent="0.25">
      <c r="C229">
        <f t="shared" si="97"/>
        <v>2024</v>
      </c>
      <c r="D229">
        <f t="shared" si="86"/>
        <v>20</v>
      </c>
      <c r="E229" s="37">
        <f t="shared" si="87"/>
        <v>0</v>
      </c>
      <c r="F229" s="37">
        <f t="shared" si="88"/>
        <v>0</v>
      </c>
      <c r="G229" s="37">
        <f t="shared" ca="1" si="89"/>
        <v>0.60000000000000031</v>
      </c>
      <c r="H229" s="37">
        <f t="shared" ca="1" si="90"/>
        <v>0.60000000000000031</v>
      </c>
      <c r="I229" s="37">
        <f t="shared" ca="1" si="91"/>
        <v>0.6</v>
      </c>
      <c r="J229" s="37">
        <f t="shared" ca="1" si="92"/>
        <v>0.59999999999999976</v>
      </c>
      <c r="K229" s="37">
        <f t="shared" ca="1" si="93"/>
        <v>0.59999999999999987</v>
      </c>
      <c r="L229" s="37">
        <f t="shared" ca="1" si="94"/>
        <v>0.6</v>
      </c>
      <c r="M229" s="37">
        <f t="shared" ca="1" si="95"/>
        <v>0.6</v>
      </c>
      <c r="N229" s="56">
        <f t="shared" si="96"/>
        <v>1</v>
      </c>
    </row>
    <row r="230" spans="3:14" x14ac:dyDescent="0.25">
      <c r="C230">
        <f t="shared" si="97"/>
        <v>2024</v>
      </c>
      <c r="D230">
        <f t="shared" si="86"/>
        <v>21</v>
      </c>
      <c r="E230" s="37">
        <f t="shared" si="87"/>
        <v>0</v>
      </c>
      <c r="F230" s="37">
        <f t="shared" si="88"/>
        <v>0</v>
      </c>
      <c r="G230" s="37">
        <f t="shared" ca="1" si="89"/>
        <v>0.60000000000000031</v>
      </c>
      <c r="H230" s="37">
        <f t="shared" ca="1" si="90"/>
        <v>0.60000000000000031</v>
      </c>
      <c r="I230" s="37">
        <f t="shared" ca="1" si="91"/>
        <v>0.6</v>
      </c>
      <c r="J230" s="37">
        <f t="shared" ca="1" si="92"/>
        <v>0.59999999999999976</v>
      </c>
      <c r="K230" s="37">
        <f t="shared" ca="1" si="93"/>
        <v>0.59999999999999987</v>
      </c>
      <c r="L230" s="37">
        <f t="shared" ca="1" si="94"/>
        <v>0.6</v>
      </c>
      <c r="M230" s="37">
        <f t="shared" ca="1" si="95"/>
        <v>0.6</v>
      </c>
      <c r="N230" s="56">
        <f t="shared" si="96"/>
        <v>1</v>
      </c>
    </row>
    <row r="231" spans="3:14" x14ac:dyDescent="0.25">
      <c r="C231">
        <f t="shared" si="97"/>
        <v>2024</v>
      </c>
      <c r="D231">
        <f t="shared" si="86"/>
        <v>22</v>
      </c>
      <c r="E231" s="37">
        <f t="shared" si="87"/>
        <v>0</v>
      </c>
      <c r="F231" s="37">
        <f t="shared" si="88"/>
        <v>0</v>
      </c>
      <c r="G231" s="37">
        <f t="shared" ca="1" si="89"/>
        <v>0.60000000000000031</v>
      </c>
      <c r="H231" s="37">
        <f t="shared" ca="1" si="90"/>
        <v>0.60000000000000031</v>
      </c>
      <c r="I231" s="37">
        <f t="shared" ca="1" si="91"/>
        <v>0.6</v>
      </c>
      <c r="J231" s="37">
        <f t="shared" ca="1" si="92"/>
        <v>0.59999999999999976</v>
      </c>
      <c r="K231" s="37">
        <f t="shared" ca="1" si="93"/>
        <v>0.59999999999999987</v>
      </c>
      <c r="L231" s="37">
        <f t="shared" ca="1" si="94"/>
        <v>0.6</v>
      </c>
      <c r="M231" s="37">
        <f t="shared" ca="1" si="95"/>
        <v>0.6</v>
      </c>
      <c r="N231" s="56">
        <f t="shared" si="96"/>
        <v>1</v>
      </c>
    </row>
    <row r="232" spans="3:14" x14ac:dyDescent="0.25">
      <c r="C232">
        <f t="shared" si="97"/>
        <v>2024</v>
      </c>
      <c r="D232">
        <f t="shared" si="86"/>
        <v>23</v>
      </c>
      <c r="E232" s="37">
        <f t="shared" si="87"/>
        <v>0</v>
      </c>
      <c r="F232" s="37">
        <f t="shared" si="88"/>
        <v>0</v>
      </c>
      <c r="G232" s="37">
        <f t="shared" ca="1" si="89"/>
        <v>0.60000000000000031</v>
      </c>
      <c r="H232" s="37">
        <f t="shared" ca="1" si="90"/>
        <v>0.60000000000000031</v>
      </c>
      <c r="I232" s="37">
        <f t="shared" ca="1" si="91"/>
        <v>0.6</v>
      </c>
      <c r="J232" s="37">
        <f t="shared" ca="1" si="92"/>
        <v>0.59999999999999976</v>
      </c>
      <c r="K232" s="37">
        <f t="shared" ca="1" si="93"/>
        <v>0.59999999999999987</v>
      </c>
      <c r="L232" s="37">
        <f t="shared" ca="1" si="94"/>
        <v>0.6</v>
      </c>
      <c r="M232" s="37">
        <f t="shared" ca="1" si="95"/>
        <v>0.6</v>
      </c>
      <c r="N232" s="56">
        <f t="shared" si="96"/>
        <v>1</v>
      </c>
    </row>
    <row r="233" spans="3:14" x14ac:dyDescent="0.25">
      <c r="C233">
        <f t="shared" si="97"/>
        <v>2024</v>
      </c>
      <c r="D233">
        <f t="shared" si="86"/>
        <v>24</v>
      </c>
      <c r="E233" s="37">
        <f t="shared" si="87"/>
        <v>0</v>
      </c>
      <c r="F233" s="37">
        <f t="shared" si="88"/>
        <v>0</v>
      </c>
      <c r="G233" s="37">
        <f t="shared" ca="1" si="89"/>
        <v>0.60000000000000031</v>
      </c>
      <c r="H233" s="37">
        <f t="shared" ca="1" si="90"/>
        <v>0.60000000000000031</v>
      </c>
      <c r="I233" s="37">
        <f t="shared" ca="1" si="91"/>
        <v>0.6</v>
      </c>
      <c r="J233" s="37">
        <f t="shared" ca="1" si="92"/>
        <v>0.59999999999999976</v>
      </c>
      <c r="K233" s="37">
        <f t="shared" ca="1" si="93"/>
        <v>0.59999999999999987</v>
      </c>
      <c r="L233" s="37">
        <f t="shared" ca="1" si="94"/>
        <v>0.6</v>
      </c>
      <c r="M233" s="37">
        <f t="shared" ca="1" si="95"/>
        <v>0.6</v>
      </c>
      <c r="N233" s="56">
        <f t="shared" si="96"/>
        <v>1</v>
      </c>
    </row>
    <row r="234" spans="3:14" x14ac:dyDescent="0.25">
      <c r="C234">
        <f t="shared" si="97"/>
        <v>2024</v>
      </c>
      <c r="D234">
        <f t="shared" si="86"/>
        <v>25</v>
      </c>
      <c r="E234" s="37">
        <f t="shared" si="87"/>
        <v>0</v>
      </c>
      <c r="F234" s="37">
        <f t="shared" si="88"/>
        <v>0</v>
      </c>
      <c r="G234" s="37">
        <f t="shared" ca="1" si="89"/>
        <v>0.60000000000000031</v>
      </c>
      <c r="H234" s="37">
        <f t="shared" ca="1" si="90"/>
        <v>0.60000000000000031</v>
      </c>
      <c r="I234" s="37">
        <f t="shared" ca="1" si="91"/>
        <v>0.6</v>
      </c>
      <c r="J234" s="37">
        <f t="shared" ca="1" si="92"/>
        <v>0.59999999999999976</v>
      </c>
      <c r="K234" s="37">
        <f t="shared" ca="1" si="93"/>
        <v>0.59999999999999987</v>
      </c>
      <c r="L234" s="37">
        <f t="shared" ca="1" si="94"/>
        <v>0.6</v>
      </c>
      <c r="M234" s="37">
        <f t="shared" ca="1" si="95"/>
        <v>0.6</v>
      </c>
      <c r="N234" s="56">
        <f t="shared" si="96"/>
        <v>1</v>
      </c>
    </row>
    <row r="235" spans="3:14" x14ac:dyDescent="0.25">
      <c r="C235">
        <f t="shared" si="97"/>
        <v>2024</v>
      </c>
      <c r="D235">
        <f t="shared" ref="D235:D261" si="98">+D183</f>
        <v>26</v>
      </c>
      <c r="E235" s="37">
        <f t="shared" ref="E235:E261" si="99">+E234</f>
        <v>0</v>
      </c>
      <c r="F235" s="37">
        <f t="shared" ref="F235:F261" si="100">+F234</f>
        <v>0</v>
      </c>
      <c r="G235" s="37">
        <f t="shared" ref="G235:G261" ca="1" si="101">+G234</f>
        <v>0.60000000000000031</v>
      </c>
      <c r="H235" s="37">
        <f t="shared" ref="H235:H261" ca="1" si="102">+H234</f>
        <v>0.60000000000000031</v>
      </c>
      <c r="I235" s="37">
        <f t="shared" ref="I235:I261" ca="1" si="103">+I234</f>
        <v>0.6</v>
      </c>
      <c r="J235" s="37">
        <f t="shared" ref="J235:J261" ca="1" si="104">+J234</f>
        <v>0.59999999999999976</v>
      </c>
      <c r="K235" s="37">
        <f t="shared" ref="K235:K261" ca="1" si="105">+K234</f>
        <v>0.59999999999999987</v>
      </c>
      <c r="L235" s="37">
        <f t="shared" ref="L235:L261" ca="1" si="106">+L234</f>
        <v>0.6</v>
      </c>
      <c r="M235" s="37">
        <f t="shared" ref="M235:M261" ca="1" si="107">+M234</f>
        <v>0.6</v>
      </c>
      <c r="N235" s="56">
        <f t="shared" ref="N235:N261" si="108">+N234</f>
        <v>1</v>
      </c>
    </row>
    <row r="236" spans="3:14" x14ac:dyDescent="0.25">
      <c r="C236">
        <f t="shared" si="97"/>
        <v>2024</v>
      </c>
      <c r="D236">
        <f t="shared" si="98"/>
        <v>27</v>
      </c>
      <c r="E236" s="37">
        <f t="shared" si="99"/>
        <v>0</v>
      </c>
      <c r="F236" s="37">
        <f t="shared" si="100"/>
        <v>0</v>
      </c>
      <c r="G236" s="37">
        <f t="shared" ca="1" si="101"/>
        <v>0.60000000000000031</v>
      </c>
      <c r="H236" s="37">
        <f t="shared" ca="1" si="102"/>
        <v>0.60000000000000031</v>
      </c>
      <c r="I236" s="37">
        <f t="shared" ca="1" si="103"/>
        <v>0.6</v>
      </c>
      <c r="J236" s="37">
        <f t="shared" ca="1" si="104"/>
        <v>0.59999999999999976</v>
      </c>
      <c r="K236" s="37">
        <f t="shared" ca="1" si="105"/>
        <v>0.59999999999999987</v>
      </c>
      <c r="L236" s="37">
        <f t="shared" ca="1" si="106"/>
        <v>0.6</v>
      </c>
      <c r="M236" s="37">
        <f t="shared" ca="1" si="107"/>
        <v>0.6</v>
      </c>
      <c r="N236" s="56">
        <f t="shared" si="108"/>
        <v>1</v>
      </c>
    </row>
    <row r="237" spans="3:14" x14ac:dyDescent="0.25">
      <c r="C237">
        <f t="shared" si="97"/>
        <v>2024</v>
      </c>
      <c r="D237">
        <f t="shared" si="98"/>
        <v>28</v>
      </c>
      <c r="E237" s="37">
        <f t="shared" si="99"/>
        <v>0</v>
      </c>
      <c r="F237" s="37">
        <f t="shared" si="100"/>
        <v>0</v>
      </c>
      <c r="G237" s="37">
        <f t="shared" ca="1" si="101"/>
        <v>0.60000000000000031</v>
      </c>
      <c r="H237" s="37">
        <f t="shared" ca="1" si="102"/>
        <v>0.60000000000000031</v>
      </c>
      <c r="I237" s="37">
        <f t="shared" ca="1" si="103"/>
        <v>0.6</v>
      </c>
      <c r="J237" s="37">
        <f t="shared" ca="1" si="104"/>
        <v>0.59999999999999976</v>
      </c>
      <c r="K237" s="37">
        <f t="shared" ca="1" si="105"/>
        <v>0.59999999999999987</v>
      </c>
      <c r="L237" s="37">
        <f t="shared" ca="1" si="106"/>
        <v>0.6</v>
      </c>
      <c r="M237" s="37">
        <f t="shared" ca="1" si="107"/>
        <v>0.6</v>
      </c>
      <c r="N237" s="56">
        <f t="shared" si="108"/>
        <v>1</v>
      </c>
    </row>
    <row r="238" spans="3:14" x14ac:dyDescent="0.25">
      <c r="C238">
        <f t="shared" si="97"/>
        <v>2024</v>
      </c>
      <c r="D238">
        <f t="shared" si="98"/>
        <v>29</v>
      </c>
      <c r="E238" s="37">
        <f t="shared" si="99"/>
        <v>0</v>
      </c>
      <c r="F238" s="37">
        <f t="shared" si="100"/>
        <v>0</v>
      </c>
      <c r="G238" s="37">
        <f t="shared" ca="1" si="101"/>
        <v>0.60000000000000031</v>
      </c>
      <c r="H238" s="37">
        <f t="shared" ca="1" si="102"/>
        <v>0.60000000000000031</v>
      </c>
      <c r="I238" s="37">
        <f t="shared" ca="1" si="103"/>
        <v>0.6</v>
      </c>
      <c r="J238" s="37">
        <f t="shared" ca="1" si="104"/>
        <v>0.59999999999999976</v>
      </c>
      <c r="K238" s="37">
        <f t="shared" ca="1" si="105"/>
        <v>0.59999999999999987</v>
      </c>
      <c r="L238" s="37">
        <f t="shared" ca="1" si="106"/>
        <v>0.6</v>
      </c>
      <c r="M238" s="37">
        <f t="shared" ca="1" si="107"/>
        <v>0.6</v>
      </c>
      <c r="N238" s="56">
        <f t="shared" si="108"/>
        <v>1</v>
      </c>
    </row>
    <row r="239" spans="3:14" x14ac:dyDescent="0.25">
      <c r="C239">
        <f t="shared" si="97"/>
        <v>2024</v>
      </c>
      <c r="D239">
        <f t="shared" si="98"/>
        <v>30</v>
      </c>
      <c r="E239" s="37">
        <f t="shared" si="99"/>
        <v>0</v>
      </c>
      <c r="F239" s="37">
        <f t="shared" si="100"/>
        <v>0</v>
      </c>
      <c r="G239" s="37">
        <f t="shared" ca="1" si="101"/>
        <v>0.60000000000000031</v>
      </c>
      <c r="H239" s="37">
        <f t="shared" ca="1" si="102"/>
        <v>0.60000000000000031</v>
      </c>
      <c r="I239" s="37">
        <f t="shared" ca="1" si="103"/>
        <v>0.6</v>
      </c>
      <c r="J239" s="37">
        <f t="shared" ca="1" si="104"/>
        <v>0.59999999999999976</v>
      </c>
      <c r="K239" s="37">
        <f t="shared" ca="1" si="105"/>
        <v>0.59999999999999987</v>
      </c>
      <c r="L239" s="37">
        <f t="shared" ca="1" si="106"/>
        <v>0.6</v>
      </c>
      <c r="M239" s="37">
        <f t="shared" ca="1" si="107"/>
        <v>0.6</v>
      </c>
      <c r="N239" s="56">
        <f t="shared" si="108"/>
        <v>1</v>
      </c>
    </row>
    <row r="240" spans="3:14" x14ac:dyDescent="0.25">
      <c r="C240">
        <f t="shared" si="97"/>
        <v>2024</v>
      </c>
      <c r="D240">
        <f t="shared" si="98"/>
        <v>31</v>
      </c>
      <c r="E240" s="37">
        <f t="shared" si="99"/>
        <v>0</v>
      </c>
      <c r="F240" s="37">
        <f t="shared" si="100"/>
        <v>0</v>
      </c>
      <c r="G240" s="37">
        <f t="shared" ca="1" si="101"/>
        <v>0.60000000000000031</v>
      </c>
      <c r="H240" s="37">
        <f t="shared" ca="1" si="102"/>
        <v>0.60000000000000031</v>
      </c>
      <c r="I240" s="37">
        <f t="shared" ca="1" si="103"/>
        <v>0.6</v>
      </c>
      <c r="J240" s="37">
        <f t="shared" ca="1" si="104"/>
        <v>0.59999999999999976</v>
      </c>
      <c r="K240" s="37">
        <f t="shared" ca="1" si="105"/>
        <v>0.59999999999999987</v>
      </c>
      <c r="L240" s="37">
        <f t="shared" ca="1" si="106"/>
        <v>0.6</v>
      </c>
      <c r="M240" s="37">
        <f t="shared" ca="1" si="107"/>
        <v>0.6</v>
      </c>
      <c r="N240" s="56">
        <f t="shared" si="108"/>
        <v>1</v>
      </c>
    </row>
    <row r="241" spans="3:14" x14ac:dyDescent="0.25">
      <c r="C241">
        <f t="shared" si="97"/>
        <v>2024</v>
      </c>
      <c r="D241">
        <f t="shared" si="98"/>
        <v>32</v>
      </c>
      <c r="E241" s="37">
        <f t="shared" si="99"/>
        <v>0</v>
      </c>
      <c r="F241" s="37">
        <f t="shared" si="100"/>
        <v>0</v>
      </c>
      <c r="G241" s="37">
        <f t="shared" ca="1" si="101"/>
        <v>0.60000000000000031</v>
      </c>
      <c r="H241" s="37">
        <f t="shared" ca="1" si="102"/>
        <v>0.60000000000000031</v>
      </c>
      <c r="I241" s="37">
        <f t="shared" ca="1" si="103"/>
        <v>0.6</v>
      </c>
      <c r="J241" s="37">
        <f t="shared" ca="1" si="104"/>
        <v>0.59999999999999976</v>
      </c>
      <c r="K241" s="37">
        <f t="shared" ca="1" si="105"/>
        <v>0.59999999999999987</v>
      </c>
      <c r="L241" s="37">
        <f t="shared" ca="1" si="106"/>
        <v>0.6</v>
      </c>
      <c r="M241" s="37">
        <f t="shared" ca="1" si="107"/>
        <v>0.6</v>
      </c>
      <c r="N241" s="56">
        <f t="shared" si="108"/>
        <v>1</v>
      </c>
    </row>
    <row r="242" spans="3:14" x14ac:dyDescent="0.25">
      <c r="C242">
        <f t="shared" si="97"/>
        <v>2024</v>
      </c>
      <c r="D242">
        <f t="shared" si="98"/>
        <v>33</v>
      </c>
      <c r="E242" s="37">
        <f t="shared" si="99"/>
        <v>0</v>
      </c>
      <c r="F242" s="37">
        <f t="shared" si="100"/>
        <v>0</v>
      </c>
      <c r="G242" s="37">
        <f t="shared" ca="1" si="101"/>
        <v>0.60000000000000031</v>
      </c>
      <c r="H242" s="37">
        <f t="shared" ca="1" si="102"/>
        <v>0.60000000000000031</v>
      </c>
      <c r="I242" s="37">
        <f t="shared" ca="1" si="103"/>
        <v>0.6</v>
      </c>
      <c r="J242" s="37">
        <f t="shared" ca="1" si="104"/>
        <v>0.59999999999999976</v>
      </c>
      <c r="K242" s="37">
        <f t="shared" ca="1" si="105"/>
        <v>0.59999999999999987</v>
      </c>
      <c r="L242" s="37">
        <f t="shared" ca="1" si="106"/>
        <v>0.6</v>
      </c>
      <c r="M242" s="37">
        <f t="shared" ca="1" si="107"/>
        <v>0.6</v>
      </c>
      <c r="N242" s="56">
        <f t="shared" si="108"/>
        <v>1</v>
      </c>
    </row>
    <row r="243" spans="3:14" x14ac:dyDescent="0.25">
      <c r="C243">
        <f t="shared" si="97"/>
        <v>2024</v>
      </c>
      <c r="D243">
        <f t="shared" si="98"/>
        <v>34</v>
      </c>
      <c r="E243" s="37">
        <f t="shared" si="99"/>
        <v>0</v>
      </c>
      <c r="F243" s="37">
        <f t="shared" si="100"/>
        <v>0</v>
      </c>
      <c r="G243" s="37">
        <f t="shared" ca="1" si="101"/>
        <v>0.60000000000000031</v>
      </c>
      <c r="H243" s="37">
        <f t="shared" ca="1" si="102"/>
        <v>0.60000000000000031</v>
      </c>
      <c r="I243" s="37">
        <f t="shared" ca="1" si="103"/>
        <v>0.6</v>
      </c>
      <c r="J243" s="37">
        <f t="shared" ca="1" si="104"/>
        <v>0.59999999999999976</v>
      </c>
      <c r="K243" s="37">
        <f t="shared" ca="1" si="105"/>
        <v>0.59999999999999987</v>
      </c>
      <c r="L243" s="37">
        <f t="shared" ca="1" si="106"/>
        <v>0.6</v>
      </c>
      <c r="M243" s="37">
        <f t="shared" ca="1" si="107"/>
        <v>0.6</v>
      </c>
      <c r="N243" s="56">
        <f t="shared" si="108"/>
        <v>1</v>
      </c>
    </row>
    <row r="244" spans="3:14" x14ac:dyDescent="0.25">
      <c r="C244">
        <f t="shared" si="97"/>
        <v>2024</v>
      </c>
      <c r="D244">
        <f t="shared" si="98"/>
        <v>35</v>
      </c>
      <c r="E244" s="37">
        <f t="shared" si="99"/>
        <v>0</v>
      </c>
      <c r="F244" s="37">
        <f t="shared" si="100"/>
        <v>0</v>
      </c>
      <c r="G244" s="37">
        <f t="shared" ca="1" si="101"/>
        <v>0.60000000000000031</v>
      </c>
      <c r="H244" s="37">
        <f t="shared" ca="1" si="102"/>
        <v>0.60000000000000031</v>
      </c>
      <c r="I244" s="37">
        <f t="shared" ca="1" si="103"/>
        <v>0.6</v>
      </c>
      <c r="J244" s="37">
        <f t="shared" ca="1" si="104"/>
        <v>0.59999999999999976</v>
      </c>
      <c r="K244" s="37">
        <f t="shared" ca="1" si="105"/>
        <v>0.59999999999999987</v>
      </c>
      <c r="L244" s="37">
        <f t="shared" ca="1" si="106"/>
        <v>0.6</v>
      </c>
      <c r="M244" s="37">
        <f t="shared" ca="1" si="107"/>
        <v>0.6</v>
      </c>
      <c r="N244" s="56">
        <f t="shared" si="108"/>
        <v>1</v>
      </c>
    </row>
    <row r="245" spans="3:14" x14ac:dyDescent="0.25">
      <c r="C245">
        <f t="shared" si="97"/>
        <v>2024</v>
      </c>
      <c r="D245">
        <f t="shared" si="98"/>
        <v>36</v>
      </c>
      <c r="E245" s="37">
        <f t="shared" si="99"/>
        <v>0</v>
      </c>
      <c r="F245" s="37">
        <f t="shared" si="100"/>
        <v>0</v>
      </c>
      <c r="G245" s="37">
        <f t="shared" ca="1" si="101"/>
        <v>0.60000000000000031</v>
      </c>
      <c r="H245" s="37">
        <f t="shared" ca="1" si="102"/>
        <v>0.60000000000000031</v>
      </c>
      <c r="I245" s="37">
        <f t="shared" ca="1" si="103"/>
        <v>0.6</v>
      </c>
      <c r="J245" s="37">
        <f t="shared" ca="1" si="104"/>
        <v>0.59999999999999976</v>
      </c>
      <c r="K245" s="37">
        <f t="shared" ca="1" si="105"/>
        <v>0.59999999999999987</v>
      </c>
      <c r="L245" s="37">
        <f t="shared" ca="1" si="106"/>
        <v>0.6</v>
      </c>
      <c r="M245" s="37">
        <f t="shared" ca="1" si="107"/>
        <v>0.6</v>
      </c>
      <c r="N245" s="56">
        <f t="shared" si="108"/>
        <v>1</v>
      </c>
    </row>
    <row r="246" spans="3:14" x14ac:dyDescent="0.25">
      <c r="C246">
        <f t="shared" si="97"/>
        <v>2024</v>
      </c>
      <c r="D246">
        <f t="shared" si="98"/>
        <v>37</v>
      </c>
      <c r="E246" s="37">
        <f t="shared" si="99"/>
        <v>0</v>
      </c>
      <c r="F246" s="37">
        <f t="shared" si="100"/>
        <v>0</v>
      </c>
      <c r="G246" s="37">
        <f t="shared" ca="1" si="101"/>
        <v>0.60000000000000031</v>
      </c>
      <c r="H246" s="37">
        <f t="shared" ca="1" si="102"/>
        <v>0.60000000000000031</v>
      </c>
      <c r="I246" s="37">
        <f t="shared" ca="1" si="103"/>
        <v>0.6</v>
      </c>
      <c r="J246" s="37">
        <f t="shared" ca="1" si="104"/>
        <v>0.59999999999999976</v>
      </c>
      <c r="K246" s="37">
        <f t="shared" ca="1" si="105"/>
        <v>0.59999999999999987</v>
      </c>
      <c r="L246" s="37">
        <f t="shared" ca="1" si="106"/>
        <v>0.6</v>
      </c>
      <c r="M246" s="37">
        <f t="shared" ca="1" si="107"/>
        <v>0.6</v>
      </c>
      <c r="N246" s="56">
        <f t="shared" si="108"/>
        <v>1</v>
      </c>
    </row>
    <row r="247" spans="3:14" x14ac:dyDescent="0.25">
      <c r="C247">
        <f t="shared" si="97"/>
        <v>2024</v>
      </c>
      <c r="D247">
        <f t="shared" si="98"/>
        <v>38</v>
      </c>
      <c r="E247" s="37">
        <f t="shared" si="99"/>
        <v>0</v>
      </c>
      <c r="F247" s="37">
        <f t="shared" si="100"/>
        <v>0</v>
      </c>
      <c r="G247" s="37">
        <f t="shared" ca="1" si="101"/>
        <v>0.60000000000000031</v>
      </c>
      <c r="H247" s="37">
        <f t="shared" ca="1" si="102"/>
        <v>0.60000000000000031</v>
      </c>
      <c r="I247" s="37">
        <f t="shared" ca="1" si="103"/>
        <v>0.6</v>
      </c>
      <c r="J247" s="37">
        <f t="shared" ca="1" si="104"/>
        <v>0.59999999999999976</v>
      </c>
      <c r="K247" s="37">
        <f t="shared" ca="1" si="105"/>
        <v>0.59999999999999987</v>
      </c>
      <c r="L247" s="37">
        <f t="shared" ca="1" si="106"/>
        <v>0.6</v>
      </c>
      <c r="M247" s="37">
        <f t="shared" ca="1" si="107"/>
        <v>0.6</v>
      </c>
      <c r="N247" s="56">
        <f t="shared" si="108"/>
        <v>1</v>
      </c>
    </row>
    <row r="248" spans="3:14" x14ac:dyDescent="0.25">
      <c r="C248">
        <f t="shared" si="97"/>
        <v>2024</v>
      </c>
      <c r="D248">
        <f t="shared" si="98"/>
        <v>39</v>
      </c>
      <c r="E248" s="37">
        <f t="shared" si="99"/>
        <v>0</v>
      </c>
      <c r="F248" s="37">
        <f t="shared" si="100"/>
        <v>0</v>
      </c>
      <c r="G248" s="37">
        <f t="shared" ca="1" si="101"/>
        <v>0.60000000000000031</v>
      </c>
      <c r="H248" s="37">
        <f t="shared" ca="1" si="102"/>
        <v>0.60000000000000031</v>
      </c>
      <c r="I248" s="37">
        <f t="shared" ca="1" si="103"/>
        <v>0.6</v>
      </c>
      <c r="J248" s="37">
        <f t="shared" ca="1" si="104"/>
        <v>0.59999999999999976</v>
      </c>
      <c r="K248" s="37">
        <f t="shared" ca="1" si="105"/>
        <v>0.59999999999999987</v>
      </c>
      <c r="L248" s="37">
        <f t="shared" ca="1" si="106"/>
        <v>0.6</v>
      </c>
      <c r="M248" s="37">
        <f t="shared" ca="1" si="107"/>
        <v>0.6</v>
      </c>
      <c r="N248" s="56">
        <f t="shared" si="108"/>
        <v>1</v>
      </c>
    </row>
    <row r="249" spans="3:14" x14ac:dyDescent="0.25">
      <c r="C249">
        <f t="shared" si="97"/>
        <v>2024</v>
      </c>
      <c r="D249">
        <f t="shared" si="98"/>
        <v>40</v>
      </c>
      <c r="E249" s="37">
        <f t="shared" si="99"/>
        <v>0</v>
      </c>
      <c r="F249" s="37">
        <f t="shared" si="100"/>
        <v>0</v>
      </c>
      <c r="G249" s="37">
        <f t="shared" ca="1" si="101"/>
        <v>0.60000000000000031</v>
      </c>
      <c r="H249" s="37">
        <f t="shared" ca="1" si="102"/>
        <v>0.60000000000000031</v>
      </c>
      <c r="I249" s="37">
        <f t="shared" ca="1" si="103"/>
        <v>0.6</v>
      </c>
      <c r="J249" s="37">
        <f t="shared" ca="1" si="104"/>
        <v>0.59999999999999976</v>
      </c>
      <c r="K249" s="37">
        <f t="shared" ca="1" si="105"/>
        <v>0.59999999999999987</v>
      </c>
      <c r="L249" s="37">
        <f t="shared" ca="1" si="106"/>
        <v>0.6</v>
      </c>
      <c r="M249" s="37">
        <f t="shared" ca="1" si="107"/>
        <v>0.6</v>
      </c>
      <c r="N249" s="56">
        <f t="shared" si="108"/>
        <v>1</v>
      </c>
    </row>
    <row r="250" spans="3:14" x14ac:dyDescent="0.25">
      <c r="C250">
        <f t="shared" si="97"/>
        <v>2024</v>
      </c>
      <c r="D250">
        <f t="shared" si="98"/>
        <v>41</v>
      </c>
      <c r="E250" s="37">
        <f t="shared" si="99"/>
        <v>0</v>
      </c>
      <c r="F250" s="37">
        <f t="shared" si="100"/>
        <v>0</v>
      </c>
      <c r="G250" s="37">
        <f t="shared" ca="1" si="101"/>
        <v>0.60000000000000031</v>
      </c>
      <c r="H250" s="37">
        <f t="shared" ca="1" si="102"/>
        <v>0.60000000000000031</v>
      </c>
      <c r="I250" s="37">
        <f t="shared" ca="1" si="103"/>
        <v>0.6</v>
      </c>
      <c r="J250" s="37">
        <f t="shared" ca="1" si="104"/>
        <v>0.59999999999999976</v>
      </c>
      <c r="K250" s="37">
        <f t="shared" ca="1" si="105"/>
        <v>0.59999999999999987</v>
      </c>
      <c r="L250" s="37">
        <f t="shared" ca="1" si="106"/>
        <v>0.6</v>
      </c>
      <c r="M250" s="37">
        <f t="shared" ca="1" si="107"/>
        <v>0.6</v>
      </c>
      <c r="N250" s="56">
        <f t="shared" si="108"/>
        <v>1</v>
      </c>
    </row>
    <row r="251" spans="3:14" x14ac:dyDescent="0.25">
      <c r="C251">
        <f t="shared" si="97"/>
        <v>2024</v>
      </c>
      <c r="D251">
        <f t="shared" si="98"/>
        <v>42</v>
      </c>
      <c r="E251" s="37">
        <f t="shared" si="99"/>
        <v>0</v>
      </c>
      <c r="F251" s="37">
        <f t="shared" si="100"/>
        <v>0</v>
      </c>
      <c r="G251" s="37">
        <f t="shared" ca="1" si="101"/>
        <v>0.60000000000000031</v>
      </c>
      <c r="H251" s="37">
        <f t="shared" ca="1" si="102"/>
        <v>0.60000000000000031</v>
      </c>
      <c r="I251" s="37">
        <f t="shared" ca="1" si="103"/>
        <v>0.6</v>
      </c>
      <c r="J251" s="37">
        <f t="shared" ca="1" si="104"/>
        <v>0.59999999999999976</v>
      </c>
      <c r="K251" s="37">
        <f t="shared" ca="1" si="105"/>
        <v>0.59999999999999987</v>
      </c>
      <c r="L251" s="37">
        <f t="shared" ca="1" si="106"/>
        <v>0.6</v>
      </c>
      <c r="M251" s="37">
        <f t="shared" ca="1" si="107"/>
        <v>0.6</v>
      </c>
      <c r="N251" s="56">
        <f t="shared" si="108"/>
        <v>1</v>
      </c>
    </row>
    <row r="252" spans="3:14" x14ac:dyDescent="0.25">
      <c r="C252">
        <f t="shared" si="97"/>
        <v>2024</v>
      </c>
      <c r="D252">
        <f t="shared" si="98"/>
        <v>43</v>
      </c>
      <c r="E252" s="37">
        <f t="shared" si="99"/>
        <v>0</v>
      </c>
      <c r="F252" s="37">
        <f t="shared" si="100"/>
        <v>0</v>
      </c>
      <c r="G252" s="37">
        <f t="shared" ca="1" si="101"/>
        <v>0.60000000000000031</v>
      </c>
      <c r="H252" s="37">
        <f t="shared" ca="1" si="102"/>
        <v>0.60000000000000031</v>
      </c>
      <c r="I252" s="37">
        <f t="shared" ca="1" si="103"/>
        <v>0.6</v>
      </c>
      <c r="J252" s="37">
        <f t="shared" ca="1" si="104"/>
        <v>0.59999999999999976</v>
      </c>
      <c r="K252" s="37">
        <f t="shared" ca="1" si="105"/>
        <v>0.59999999999999987</v>
      </c>
      <c r="L252" s="37">
        <f t="shared" ca="1" si="106"/>
        <v>0.6</v>
      </c>
      <c r="M252" s="37">
        <f t="shared" ca="1" si="107"/>
        <v>0.6</v>
      </c>
      <c r="N252" s="56">
        <f t="shared" si="108"/>
        <v>1</v>
      </c>
    </row>
    <row r="253" spans="3:14" x14ac:dyDescent="0.25">
      <c r="C253">
        <f t="shared" si="97"/>
        <v>2024</v>
      </c>
      <c r="D253">
        <f t="shared" si="98"/>
        <v>44</v>
      </c>
      <c r="E253" s="37">
        <f t="shared" si="99"/>
        <v>0</v>
      </c>
      <c r="F253" s="37">
        <f t="shared" si="100"/>
        <v>0</v>
      </c>
      <c r="G253" s="37">
        <f t="shared" ca="1" si="101"/>
        <v>0.60000000000000031</v>
      </c>
      <c r="H253" s="37">
        <f t="shared" ca="1" si="102"/>
        <v>0.60000000000000031</v>
      </c>
      <c r="I253" s="37">
        <f t="shared" ca="1" si="103"/>
        <v>0.6</v>
      </c>
      <c r="J253" s="37">
        <f t="shared" ca="1" si="104"/>
        <v>0.59999999999999976</v>
      </c>
      <c r="K253" s="37">
        <f t="shared" ca="1" si="105"/>
        <v>0.59999999999999987</v>
      </c>
      <c r="L253" s="37">
        <f t="shared" ca="1" si="106"/>
        <v>0.6</v>
      </c>
      <c r="M253" s="37">
        <f t="shared" ca="1" si="107"/>
        <v>0.6</v>
      </c>
      <c r="N253" s="56">
        <f t="shared" si="108"/>
        <v>1</v>
      </c>
    </row>
    <row r="254" spans="3:14" x14ac:dyDescent="0.25">
      <c r="C254">
        <f t="shared" si="97"/>
        <v>2024</v>
      </c>
      <c r="D254">
        <f t="shared" si="98"/>
        <v>45</v>
      </c>
      <c r="E254" s="37">
        <f t="shared" si="99"/>
        <v>0</v>
      </c>
      <c r="F254" s="37">
        <f t="shared" si="100"/>
        <v>0</v>
      </c>
      <c r="G254" s="37">
        <f t="shared" ca="1" si="101"/>
        <v>0.60000000000000031</v>
      </c>
      <c r="H254" s="37">
        <f t="shared" ca="1" si="102"/>
        <v>0.60000000000000031</v>
      </c>
      <c r="I254" s="37">
        <f t="shared" ca="1" si="103"/>
        <v>0.6</v>
      </c>
      <c r="J254" s="37">
        <f t="shared" ca="1" si="104"/>
        <v>0.59999999999999976</v>
      </c>
      <c r="K254" s="37">
        <f t="shared" ca="1" si="105"/>
        <v>0.59999999999999987</v>
      </c>
      <c r="L254" s="37">
        <f t="shared" ca="1" si="106"/>
        <v>0.6</v>
      </c>
      <c r="M254" s="37">
        <f t="shared" ca="1" si="107"/>
        <v>0.6</v>
      </c>
      <c r="N254" s="56">
        <f t="shared" si="108"/>
        <v>1</v>
      </c>
    </row>
    <row r="255" spans="3:14" x14ac:dyDescent="0.25">
      <c r="C255">
        <f t="shared" si="97"/>
        <v>2024</v>
      </c>
      <c r="D255">
        <f t="shared" si="98"/>
        <v>46</v>
      </c>
      <c r="E255" s="37">
        <f t="shared" si="99"/>
        <v>0</v>
      </c>
      <c r="F255" s="37">
        <f t="shared" si="100"/>
        <v>0</v>
      </c>
      <c r="G255" s="37">
        <f t="shared" ca="1" si="101"/>
        <v>0.60000000000000031</v>
      </c>
      <c r="H255" s="37">
        <f t="shared" ca="1" si="102"/>
        <v>0.60000000000000031</v>
      </c>
      <c r="I255" s="37">
        <f t="shared" ca="1" si="103"/>
        <v>0.6</v>
      </c>
      <c r="J255" s="37">
        <f t="shared" ca="1" si="104"/>
        <v>0.59999999999999976</v>
      </c>
      <c r="K255" s="37">
        <f t="shared" ca="1" si="105"/>
        <v>0.59999999999999987</v>
      </c>
      <c r="L255" s="37">
        <f t="shared" ca="1" si="106"/>
        <v>0.6</v>
      </c>
      <c r="M255" s="37">
        <f t="shared" ca="1" si="107"/>
        <v>0.6</v>
      </c>
      <c r="N255" s="56">
        <f t="shared" si="108"/>
        <v>1</v>
      </c>
    </row>
    <row r="256" spans="3:14" x14ac:dyDescent="0.25">
      <c r="C256">
        <f t="shared" si="97"/>
        <v>2024</v>
      </c>
      <c r="D256">
        <f t="shared" si="98"/>
        <v>47</v>
      </c>
      <c r="E256" s="37">
        <f t="shared" si="99"/>
        <v>0</v>
      </c>
      <c r="F256" s="37">
        <f t="shared" si="100"/>
        <v>0</v>
      </c>
      <c r="G256" s="37">
        <f t="shared" ca="1" si="101"/>
        <v>0.60000000000000031</v>
      </c>
      <c r="H256" s="37">
        <f t="shared" ca="1" si="102"/>
        <v>0.60000000000000031</v>
      </c>
      <c r="I256" s="37">
        <f t="shared" ca="1" si="103"/>
        <v>0.6</v>
      </c>
      <c r="J256" s="37">
        <f t="shared" ca="1" si="104"/>
        <v>0.59999999999999976</v>
      </c>
      <c r="K256" s="37">
        <f t="shared" ca="1" si="105"/>
        <v>0.59999999999999987</v>
      </c>
      <c r="L256" s="37">
        <f t="shared" ca="1" si="106"/>
        <v>0.6</v>
      </c>
      <c r="M256" s="37">
        <f t="shared" ca="1" si="107"/>
        <v>0.6</v>
      </c>
      <c r="N256" s="56">
        <f t="shared" si="108"/>
        <v>1</v>
      </c>
    </row>
    <row r="257" spans="3:14" x14ac:dyDescent="0.25">
      <c r="C257">
        <f t="shared" si="97"/>
        <v>2024</v>
      </c>
      <c r="D257">
        <f t="shared" si="98"/>
        <v>48</v>
      </c>
      <c r="E257" s="37">
        <f t="shared" si="99"/>
        <v>0</v>
      </c>
      <c r="F257" s="37">
        <f t="shared" si="100"/>
        <v>0</v>
      </c>
      <c r="G257" s="37">
        <f t="shared" ca="1" si="101"/>
        <v>0.60000000000000031</v>
      </c>
      <c r="H257" s="37">
        <f t="shared" ca="1" si="102"/>
        <v>0.60000000000000031</v>
      </c>
      <c r="I257" s="37">
        <f t="shared" ca="1" si="103"/>
        <v>0.6</v>
      </c>
      <c r="J257" s="37">
        <f t="shared" ca="1" si="104"/>
        <v>0.59999999999999976</v>
      </c>
      <c r="K257" s="37">
        <f t="shared" ca="1" si="105"/>
        <v>0.59999999999999987</v>
      </c>
      <c r="L257" s="37">
        <f t="shared" ca="1" si="106"/>
        <v>0.6</v>
      </c>
      <c r="M257" s="37">
        <f t="shared" ca="1" si="107"/>
        <v>0.6</v>
      </c>
      <c r="N257" s="56">
        <f t="shared" si="108"/>
        <v>1</v>
      </c>
    </row>
    <row r="258" spans="3:14" x14ac:dyDescent="0.25">
      <c r="C258">
        <f t="shared" si="97"/>
        <v>2024</v>
      </c>
      <c r="D258">
        <f t="shared" si="98"/>
        <v>49</v>
      </c>
      <c r="E258" s="37">
        <f t="shared" si="99"/>
        <v>0</v>
      </c>
      <c r="F258" s="37">
        <f t="shared" si="100"/>
        <v>0</v>
      </c>
      <c r="G258" s="37">
        <f t="shared" ca="1" si="101"/>
        <v>0.60000000000000031</v>
      </c>
      <c r="H258" s="37">
        <f t="shared" ca="1" si="102"/>
        <v>0.60000000000000031</v>
      </c>
      <c r="I258" s="37">
        <f t="shared" ca="1" si="103"/>
        <v>0.6</v>
      </c>
      <c r="J258" s="37">
        <f t="shared" ca="1" si="104"/>
        <v>0.59999999999999976</v>
      </c>
      <c r="K258" s="37">
        <f t="shared" ca="1" si="105"/>
        <v>0.59999999999999987</v>
      </c>
      <c r="L258" s="37">
        <f t="shared" ca="1" si="106"/>
        <v>0.6</v>
      </c>
      <c r="M258" s="37">
        <f t="shared" ca="1" si="107"/>
        <v>0.6</v>
      </c>
      <c r="N258" s="56">
        <f t="shared" si="108"/>
        <v>1</v>
      </c>
    </row>
    <row r="259" spans="3:14" x14ac:dyDescent="0.25">
      <c r="C259">
        <f t="shared" si="97"/>
        <v>2024</v>
      </c>
      <c r="D259">
        <f t="shared" si="98"/>
        <v>50</v>
      </c>
      <c r="E259" s="37">
        <f t="shared" si="99"/>
        <v>0</v>
      </c>
      <c r="F259" s="37">
        <f t="shared" si="100"/>
        <v>0</v>
      </c>
      <c r="G259" s="37">
        <f t="shared" ca="1" si="101"/>
        <v>0.60000000000000031</v>
      </c>
      <c r="H259" s="37">
        <f t="shared" ca="1" si="102"/>
        <v>0.60000000000000031</v>
      </c>
      <c r="I259" s="37">
        <f t="shared" ca="1" si="103"/>
        <v>0.6</v>
      </c>
      <c r="J259" s="37">
        <f t="shared" ca="1" si="104"/>
        <v>0.59999999999999976</v>
      </c>
      <c r="K259" s="37">
        <f t="shared" ca="1" si="105"/>
        <v>0.59999999999999987</v>
      </c>
      <c r="L259" s="37">
        <f t="shared" ca="1" si="106"/>
        <v>0.6</v>
      </c>
      <c r="M259" s="37">
        <f t="shared" ca="1" si="107"/>
        <v>0.6</v>
      </c>
      <c r="N259" s="56">
        <f t="shared" si="108"/>
        <v>1</v>
      </c>
    </row>
    <row r="260" spans="3:14" x14ac:dyDescent="0.25">
      <c r="C260">
        <f t="shared" si="97"/>
        <v>2024</v>
      </c>
      <c r="D260">
        <f t="shared" si="98"/>
        <v>51</v>
      </c>
      <c r="E260" s="37">
        <f t="shared" si="99"/>
        <v>0</v>
      </c>
      <c r="F260" s="37">
        <f t="shared" si="100"/>
        <v>0</v>
      </c>
      <c r="G260" s="37">
        <f t="shared" ca="1" si="101"/>
        <v>0.60000000000000031</v>
      </c>
      <c r="H260" s="37">
        <f t="shared" ca="1" si="102"/>
        <v>0.60000000000000031</v>
      </c>
      <c r="I260" s="37">
        <f t="shared" ca="1" si="103"/>
        <v>0.6</v>
      </c>
      <c r="J260" s="37">
        <f t="shared" ca="1" si="104"/>
        <v>0.59999999999999976</v>
      </c>
      <c r="K260" s="37">
        <f t="shared" ca="1" si="105"/>
        <v>0.59999999999999987</v>
      </c>
      <c r="L260" s="37">
        <f t="shared" ca="1" si="106"/>
        <v>0.6</v>
      </c>
      <c r="M260" s="37">
        <f t="shared" ca="1" si="107"/>
        <v>0.6</v>
      </c>
      <c r="N260" s="56">
        <f t="shared" si="108"/>
        <v>1</v>
      </c>
    </row>
    <row r="261" spans="3:14" x14ac:dyDescent="0.25">
      <c r="C261">
        <f t="shared" si="97"/>
        <v>2024</v>
      </c>
      <c r="D261">
        <f t="shared" si="98"/>
        <v>52</v>
      </c>
      <c r="E261" s="37">
        <f t="shared" si="99"/>
        <v>0</v>
      </c>
      <c r="F261" s="37">
        <f t="shared" si="100"/>
        <v>0</v>
      </c>
      <c r="G261" s="37">
        <f t="shared" ca="1" si="101"/>
        <v>0.60000000000000031</v>
      </c>
      <c r="H261" s="37">
        <f t="shared" ca="1" si="102"/>
        <v>0.60000000000000031</v>
      </c>
      <c r="I261" s="37">
        <f t="shared" ca="1" si="103"/>
        <v>0.6</v>
      </c>
      <c r="J261" s="37">
        <f t="shared" ca="1" si="104"/>
        <v>0.59999999999999976</v>
      </c>
      <c r="K261" s="37">
        <f t="shared" ca="1" si="105"/>
        <v>0.59999999999999987</v>
      </c>
      <c r="L261" s="37">
        <f t="shared" ca="1" si="106"/>
        <v>0.6</v>
      </c>
      <c r="M261" s="37">
        <f t="shared" ca="1" si="107"/>
        <v>0.6</v>
      </c>
      <c r="N261" s="56">
        <f t="shared" si="108"/>
        <v>1</v>
      </c>
    </row>
    <row r="262" spans="3:14" x14ac:dyDescent="0.25">
      <c r="E262" s="37"/>
      <c r="F262" s="37"/>
      <c r="G262" s="37"/>
      <c r="H262" s="37"/>
      <c r="I262" s="37"/>
      <c r="J262" s="37"/>
      <c r="K262" s="37"/>
      <c r="L262" s="37"/>
      <c r="M262" s="37"/>
      <c r="N262" s="37"/>
    </row>
    <row r="263" spans="3:14" x14ac:dyDescent="0.25">
      <c r="E263" s="37"/>
      <c r="F263" s="37"/>
      <c r="G263" s="37"/>
      <c r="H263" s="37"/>
      <c r="I263" s="37"/>
      <c r="J263" s="37"/>
      <c r="K263" s="37"/>
      <c r="L263" s="37"/>
      <c r="M263" s="37"/>
      <c r="N263" s="37"/>
    </row>
    <row r="264" spans="3:14" x14ac:dyDescent="0.25">
      <c r="E264" s="37"/>
      <c r="F264" s="37"/>
      <c r="G264" s="37"/>
      <c r="H264" s="37"/>
      <c r="I264" s="37"/>
      <c r="J264" s="37"/>
      <c r="K264" s="37"/>
      <c r="L264" s="37"/>
      <c r="M264" s="37"/>
      <c r="N264" s="37"/>
    </row>
    <row r="265" spans="3:14" x14ac:dyDescent="0.25">
      <c r="E265" s="37"/>
      <c r="F265" s="37"/>
      <c r="G265" s="37"/>
      <c r="H265" s="37"/>
      <c r="I265" s="37"/>
      <c r="J265" s="37"/>
      <c r="K265" s="37"/>
      <c r="L265" s="37"/>
      <c r="M265" s="37"/>
      <c r="N265" s="37"/>
    </row>
    <row r="266" spans="3:14" x14ac:dyDescent="0.25">
      <c r="E266" s="37"/>
      <c r="F266" s="37"/>
      <c r="G266" s="37"/>
      <c r="H266" s="37"/>
      <c r="I266" s="37"/>
      <c r="J266" s="37"/>
      <c r="K266" s="37"/>
      <c r="L266" s="37"/>
      <c r="M266" s="37"/>
      <c r="N266" s="37"/>
    </row>
    <row r="267" spans="3:14" x14ac:dyDescent="0.25">
      <c r="E267" s="37"/>
      <c r="F267" s="37"/>
      <c r="G267" s="37"/>
      <c r="H267" s="37"/>
      <c r="I267" s="37"/>
      <c r="J267" s="37"/>
      <c r="K267" s="37"/>
      <c r="L267" s="37"/>
      <c r="M267" s="37"/>
      <c r="N267" s="37"/>
    </row>
    <row r="268" spans="3:14" x14ac:dyDescent="0.25">
      <c r="E268" s="37"/>
      <c r="F268" s="37"/>
      <c r="G268" s="37"/>
      <c r="H268" s="37"/>
      <c r="I268" s="37"/>
      <c r="J268" s="37"/>
      <c r="K268" s="37"/>
      <c r="L268" s="37"/>
      <c r="M268" s="37"/>
      <c r="N268" s="37"/>
    </row>
    <row r="269" spans="3:14" x14ac:dyDescent="0.25">
      <c r="E269" s="37"/>
      <c r="F269" s="37"/>
      <c r="G269" s="37"/>
      <c r="H269" s="37"/>
      <c r="I269" s="37"/>
      <c r="J269" s="37"/>
      <c r="K269" s="37"/>
      <c r="L269" s="37"/>
      <c r="M269" s="37"/>
      <c r="N269" s="37"/>
    </row>
    <row r="270" spans="3:14" x14ac:dyDescent="0.25">
      <c r="E270" s="37"/>
      <c r="F270" s="37"/>
      <c r="G270" s="37"/>
      <c r="H270" s="37"/>
      <c r="I270" s="37"/>
      <c r="J270" s="37"/>
      <c r="K270" s="37"/>
      <c r="L270" s="37"/>
      <c r="M270" s="37"/>
      <c r="N270" s="37"/>
    </row>
    <row r="271" spans="3:14" x14ac:dyDescent="0.25">
      <c r="E271" s="37"/>
      <c r="F271" s="37"/>
      <c r="G271" s="37"/>
      <c r="H271" s="37"/>
      <c r="I271" s="37"/>
      <c r="J271" s="37"/>
      <c r="K271" s="37"/>
      <c r="L271" s="37"/>
      <c r="M271" s="37"/>
      <c r="N271" s="37"/>
    </row>
    <row r="272" spans="3:14" x14ac:dyDescent="0.25">
      <c r="E272" s="37"/>
      <c r="F272" s="37"/>
      <c r="G272" s="37"/>
      <c r="H272" s="37"/>
      <c r="I272" s="37"/>
      <c r="J272" s="37"/>
      <c r="K272" s="37"/>
      <c r="L272" s="37"/>
      <c r="M272" s="37"/>
      <c r="N272" s="37"/>
    </row>
    <row r="273" spans="5:14" x14ac:dyDescent="0.25">
      <c r="E273" s="37"/>
      <c r="F273" s="37"/>
      <c r="G273" s="37"/>
      <c r="H273" s="37"/>
      <c r="I273" s="37"/>
      <c r="J273" s="37"/>
      <c r="K273" s="37"/>
      <c r="L273" s="37"/>
      <c r="M273" s="37"/>
      <c r="N273" s="37"/>
    </row>
    <row r="274" spans="5:14" x14ac:dyDescent="0.25">
      <c r="E274" s="37"/>
      <c r="F274" s="37"/>
      <c r="G274" s="37"/>
      <c r="H274" s="37"/>
      <c r="I274" s="37"/>
      <c r="J274" s="37"/>
      <c r="K274" s="37"/>
      <c r="L274" s="37"/>
      <c r="M274" s="37"/>
      <c r="N274" s="37"/>
    </row>
    <row r="275" spans="5:14" x14ac:dyDescent="0.25">
      <c r="E275" s="37"/>
      <c r="F275" s="37"/>
      <c r="G275" s="37"/>
      <c r="H275" s="37"/>
      <c r="I275" s="37"/>
      <c r="J275" s="37"/>
      <c r="K275" s="37"/>
      <c r="L275" s="37"/>
      <c r="M275" s="37"/>
      <c r="N275" s="37"/>
    </row>
    <row r="276" spans="5:14" x14ac:dyDescent="0.25">
      <c r="E276" s="37"/>
      <c r="F276" s="37"/>
      <c r="G276" s="37"/>
      <c r="H276" s="37"/>
      <c r="I276" s="37"/>
      <c r="J276" s="37"/>
      <c r="K276" s="37"/>
      <c r="L276" s="37"/>
      <c r="M276" s="37"/>
      <c r="N276" s="37"/>
    </row>
    <row r="277" spans="5:14" x14ac:dyDescent="0.25">
      <c r="E277" s="37"/>
      <c r="F277" s="37"/>
      <c r="G277" s="37"/>
      <c r="H277" s="37"/>
      <c r="I277" s="37"/>
      <c r="J277" s="37"/>
      <c r="K277" s="37"/>
      <c r="L277" s="37"/>
      <c r="M277" s="37"/>
      <c r="N277" s="37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12E3B-FB7F-4A14-8A15-195D1AC4E111}">
  <sheetPr codeName="Feuil18">
    <tabColor rgb="FFFFC000"/>
  </sheetPr>
  <dimension ref="A1:M65"/>
  <sheetViews>
    <sheetView workbookViewId="0">
      <selection activeCell="C3" sqref="C3"/>
    </sheetView>
  </sheetViews>
  <sheetFormatPr baseColWidth="10" defaultColWidth="11" defaultRowHeight="15.75" x14ac:dyDescent="0.25"/>
  <cols>
    <col min="3" max="3" width="13.625" bestFit="1" customWidth="1"/>
    <col min="4" max="4" width="56.375" bestFit="1" customWidth="1"/>
    <col min="5" max="5" width="11.875" bestFit="1" customWidth="1"/>
    <col min="8" max="8" width="22.375" bestFit="1" customWidth="1"/>
  </cols>
  <sheetData>
    <row r="1" spans="1:8" x14ac:dyDescent="0.25">
      <c r="A1" s="6" t="s">
        <v>88</v>
      </c>
      <c r="C1" s="6" t="s">
        <v>50</v>
      </c>
      <c r="D1" s="6" t="s">
        <v>51</v>
      </c>
      <c r="E1" s="6" t="s">
        <v>52</v>
      </c>
      <c r="F1" s="6"/>
      <c r="G1" s="6"/>
      <c r="H1" s="6"/>
    </row>
    <row r="2" spans="1:8" x14ac:dyDescent="0.25">
      <c r="A2" s="15" t="s">
        <v>61</v>
      </c>
      <c r="C2" t="s">
        <v>57</v>
      </c>
      <c r="D2" t="s">
        <v>416</v>
      </c>
      <c r="E2" s="16">
        <v>157</v>
      </c>
      <c r="F2" s="32"/>
      <c r="G2" s="16"/>
    </row>
    <row r="3" spans="1:8" x14ac:dyDescent="0.25">
      <c r="A3" s="6" t="s">
        <v>50</v>
      </c>
      <c r="C3" t="s">
        <v>504</v>
      </c>
      <c r="D3" t="s">
        <v>505</v>
      </c>
      <c r="E3" s="32">
        <v>1</v>
      </c>
      <c r="F3" s="32"/>
      <c r="G3" s="16"/>
    </row>
    <row r="4" spans="1:8" x14ac:dyDescent="0.25">
      <c r="A4" t="s">
        <v>93</v>
      </c>
      <c r="E4" s="32"/>
      <c r="F4" s="32"/>
      <c r="G4" s="16"/>
    </row>
    <row r="5" spans="1:8" x14ac:dyDescent="0.25">
      <c r="E5" s="32"/>
      <c r="F5" s="32"/>
      <c r="G5" s="16"/>
    </row>
    <row r="6" spans="1:8" x14ac:dyDescent="0.25">
      <c r="E6" s="32"/>
      <c r="F6" s="32"/>
      <c r="G6" s="16"/>
    </row>
    <row r="7" spans="1:8" x14ac:dyDescent="0.25">
      <c r="E7" s="16"/>
      <c r="F7" s="16"/>
      <c r="G7" s="16"/>
    </row>
    <row r="8" spans="1:8" x14ac:dyDescent="0.25">
      <c r="E8" s="32"/>
      <c r="F8" s="32"/>
      <c r="G8" s="16"/>
    </row>
    <row r="9" spans="1:8" x14ac:dyDescent="0.25">
      <c r="F9" s="16"/>
      <c r="G9" s="16"/>
    </row>
    <row r="10" spans="1:8" x14ac:dyDescent="0.25">
      <c r="E10" s="16"/>
      <c r="F10" s="16"/>
      <c r="G10" s="16"/>
    </row>
    <row r="11" spans="1:8" x14ac:dyDescent="0.25">
      <c r="E11" s="16"/>
      <c r="F11" s="16"/>
      <c r="G11" s="16"/>
    </row>
    <row r="13" spans="1:8" x14ac:dyDescent="0.25">
      <c r="E13" s="16"/>
    </row>
    <row r="14" spans="1:8" x14ac:dyDescent="0.25">
      <c r="E14" s="16"/>
    </row>
    <row r="15" spans="1:8" ht="19.5" customHeight="1" x14ac:dyDescent="0.25">
      <c r="E15" s="16"/>
    </row>
    <row r="16" spans="1:8" x14ac:dyDescent="0.25">
      <c r="E16" s="16"/>
    </row>
    <row r="17" spans="5:7" x14ac:dyDescent="0.25">
      <c r="E17" s="16"/>
    </row>
    <row r="18" spans="5:7" x14ac:dyDescent="0.25">
      <c r="E18" s="16"/>
    </row>
    <row r="19" spans="5:7" x14ac:dyDescent="0.25">
      <c r="E19" s="16"/>
    </row>
    <row r="20" spans="5:7" x14ac:dyDescent="0.25">
      <c r="E20" s="16"/>
    </row>
    <row r="27" spans="5:7" x14ac:dyDescent="0.25">
      <c r="E27" s="3"/>
      <c r="G27" s="3"/>
    </row>
    <row r="28" spans="5:7" x14ac:dyDescent="0.25">
      <c r="E28" s="3"/>
      <c r="G28" s="3"/>
    </row>
    <row r="29" spans="5:7" x14ac:dyDescent="0.25">
      <c r="E29" s="3"/>
      <c r="G29" s="3"/>
    </row>
    <row r="30" spans="5:7" x14ac:dyDescent="0.25">
      <c r="E30" s="3"/>
      <c r="G30" s="3"/>
    </row>
    <row r="31" spans="5:7" x14ac:dyDescent="0.25">
      <c r="E31" s="3"/>
    </row>
    <row r="32" spans="5:7" x14ac:dyDescent="0.25">
      <c r="E32" s="3"/>
    </row>
    <row r="33" spans="5:5" x14ac:dyDescent="0.25">
      <c r="E33" s="3"/>
    </row>
    <row r="34" spans="5:5" x14ac:dyDescent="0.25">
      <c r="E34" s="3"/>
    </row>
    <row r="35" spans="5:5" x14ac:dyDescent="0.25">
      <c r="E35" s="3"/>
    </row>
    <row r="36" spans="5:5" x14ac:dyDescent="0.25">
      <c r="E36" s="3"/>
    </row>
    <row r="54" spans="7:13" x14ac:dyDescent="0.25">
      <c r="G54" s="29"/>
      <c r="H54" s="29"/>
      <c r="I54" s="29"/>
      <c r="J54" s="29"/>
    </row>
    <row r="55" spans="7:13" x14ac:dyDescent="0.25">
      <c r="G55" s="29"/>
      <c r="H55" s="29"/>
      <c r="I55" s="29"/>
      <c r="J55" s="29"/>
    </row>
    <row r="56" spans="7:13" x14ac:dyDescent="0.25">
      <c r="G56" s="29"/>
      <c r="H56" s="29"/>
      <c r="I56" s="29"/>
      <c r="J56" s="29"/>
    </row>
    <row r="57" spans="7:13" x14ac:dyDescent="0.25">
      <c r="G57" s="29"/>
      <c r="H57" s="29"/>
      <c r="I57" s="29"/>
      <c r="J57" s="29"/>
    </row>
    <row r="58" spans="7:13" x14ac:dyDescent="0.25">
      <c r="G58" s="29"/>
      <c r="H58" s="29"/>
      <c r="I58" s="29"/>
      <c r="J58" s="29"/>
    </row>
    <row r="59" spans="7:13" x14ac:dyDescent="0.25">
      <c r="G59" s="29"/>
      <c r="H59" s="29"/>
      <c r="I59" s="29"/>
      <c r="J59" s="29"/>
    </row>
    <row r="62" spans="7:13" x14ac:dyDescent="0.25">
      <c r="K62" s="29"/>
      <c r="L62" s="29"/>
      <c r="M62" s="29"/>
    </row>
    <row r="63" spans="7:13" x14ac:dyDescent="0.25">
      <c r="K63" s="29"/>
      <c r="L63" s="29"/>
      <c r="M63" s="29"/>
    </row>
    <row r="64" spans="7:13" x14ac:dyDescent="0.25">
      <c r="K64" s="29"/>
      <c r="L64" s="29"/>
      <c r="M64" s="29"/>
    </row>
    <row r="65" spans="11:11" x14ac:dyDescent="0.25">
      <c r="K65" s="29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1E808-31C8-4E0C-8B09-3A08515B8EF9}">
  <sheetPr codeName="Feuil13">
    <tabColor rgb="FFFFC000"/>
  </sheetPr>
  <dimension ref="A1:AE261"/>
  <sheetViews>
    <sheetView workbookViewId="0">
      <selection activeCell="C1" sqref="C1"/>
    </sheetView>
  </sheetViews>
  <sheetFormatPr baseColWidth="10" defaultColWidth="11" defaultRowHeight="15.75" x14ac:dyDescent="0.25"/>
  <sheetData>
    <row r="1" spans="1:31" x14ac:dyDescent="0.25">
      <c r="A1" s="6" t="s">
        <v>88</v>
      </c>
      <c r="C1" s="31" t="s">
        <v>417</v>
      </c>
      <c r="D1" s="31" t="s">
        <v>36</v>
      </c>
      <c r="E1" s="31" t="s">
        <v>37</v>
      </c>
      <c r="F1" s="31" t="s">
        <v>38</v>
      </c>
      <c r="G1" s="31" t="s">
        <v>39</v>
      </c>
      <c r="H1" s="31" t="s">
        <v>40</v>
      </c>
      <c r="I1" s="31" t="s">
        <v>41</v>
      </c>
      <c r="J1" s="31" t="s">
        <v>42</v>
      </c>
      <c r="K1" s="31" t="s">
        <v>43</v>
      </c>
      <c r="L1" s="31" t="s">
        <v>44</v>
      </c>
      <c r="M1" s="6" t="s">
        <v>61</v>
      </c>
      <c r="O1" s="31" t="s">
        <v>433</v>
      </c>
      <c r="P1" s="31" t="s">
        <v>36</v>
      </c>
      <c r="Q1" s="31" t="s">
        <v>37</v>
      </c>
      <c r="R1" s="31" t="s">
        <v>38</v>
      </c>
      <c r="S1" s="31" t="s">
        <v>39</v>
      </c>
      <c r="T1" s="31" t="s">
        <v>40</v>
      </c>
      <c r="U1" s="31" t="s">
        <v>41</v>
      </c>
      <c r="V1" s="31" t="s">
        <v>42</v>
      </c>
      <c r="W1" s="31" t="s">
        <v>43</v>
      </c>
      <c r="X1" s="31" t="s">
        <v>44</v>
      </c>
    </row>
    <row r="2" spans="1:31" x14ac:dyDescent="0.25">
      <c r="A2" s="15" t="s">
        <v>61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2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1</v>
      </c>
      <c r="W2">
        <v>1</v>
      </c>
      <c r="X2">
        <v>1</v>
      </c>
    </row>
    <row r="3" spans="1:31" x14ac:dyDescent="0.25">
      <c r="A3" s="6" t="s">
        <v>50</v>
      </c>
      <c r="C3">
        <v>2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2</v>
      </c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</row>
    <row r="4" spans="1:31" x14ac:dyDescent="0.25">
      <c r="A4" t="s">
        <v>503</v>
      </c>
      <c r="C4">
        <v>3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2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</row>
    <row r="5" spans="1:31" x14ac:dyDescent="0.25"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2</v>
      </c>
    </row>
    <row r="6" spans="1:31" x14ac:dyDescent="0.25">
      <c r="C6">
        <v>5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2</v>
      </c>
    </row>
    <row r="7" spans="1:31" x14ac:dyDescent="0.25">
      <c r="C7">
        <v>6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2</v>
      </c>
    </row>
    <row r="8" spans="1:31" x14ac:dyDescent="0.25">
      <c r="C8">
        <v>7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</row>
    <row r="9" spans="1:31" x14ac:dyDescent="0.25">
      <c r="C9">
        <v>8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2</v>
      </c>
    </row>
    <row r="10" spans="1:31" x14ac:dyDescent="0.25">
      <c r="C10">
        <v>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2</v>
      </c>
    </row>
    <row r="11" spans="1:31" x14ac:dyDescent="0.25">
      <c r="C11">
        <v>10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2</v>
      </c>
    </row>
    <row r="12" spans="1:31" x14ac:dyDescent="0.25">
      <c r="C12">
        <v>11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2</v>
      </c>
    </row>
    <row r="13" spans="1:31" x14ac:dyDescent="0.25">
      <c r="C13">
        <v>12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2</v>
      </c>
    </row>
    <row r="14" spans="1:31" x14ac:dyDescent="0.25">
      <c r="C14">
        <v>13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2</v>
      </c>
    </row>
    <row r="15" spans="1:31" x14ac:dyDescent="0.25">
      <c r="C15">
        <v>14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2</v>
      </c>
    </row>
    <row r="16" spans="1:31" x14ac:dyDescent="0.25">
      <c r="C16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2</v>
      </c>
    </row>
    <row r="17" spans="3:13" x14ac:dyDescent="0.25">
      <c r="C17">
        <v>16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2</v>
      </c>
    </row>
    <row r="18" spans="3:13" x14ac:dyDescent="0.25">
      <c r="C18">
        <v>17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2</v>
      </c>
    </row>
    <row r="19" spans="3:13" x14ac:dyDescent="0.25">
      <c r="C19">
        <v>18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2</v>
      </c>
    </row>
    <row r="20" spans="3:13" x14ac:dyDescent="0.25">
      <c r="C20">
        <v>19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2</v>
      </c>
    </row>
    <row r="21" spans="3:13" x14ac:dyDescent="0.25">
      <c r="C21">
        <v>20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2</v>
      </c>
    </row>
    <row r="22" spans="3:13" x14ac:dyDescent="0.25">
      <c r="C22">
        <v>21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2</v>
      </c>
    </row>
    <row r="23" spans="3:13" x14ac:dyDescent="0.25">
      <c r="C23">
        <v>22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2</v>
      </c>
    </row>
    <row r="24" spans="3:13" x14ac:dyDescent="0.25">
      <c r="C24">
        <v>23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2</v>
      </c>
    </row>
    <row r="25" spans="3:13" x14ac:dyDescent="0.25">
      <c r="C25">
        <v>24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2</v>
      </c>
    </row>
    <row r="26" spans="3:13" x14ac:dyDescent="0.25">
      <c r="C26">
        <v>25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2</v>
      </c>
    </row>
    <row r="27" spans="3:13" x14ac:dyDescent="0.25">
      <c r="C27">
        <v>26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2</v>
      </c>
    </row>
    <row r="28" spans="3:13" x14ac:dyDescent="0.25">
      <c r="C28">
        <v>27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2</v>
      </c>
    </row>
    <row r="29" spans="3:13" x14ac:dyDescent="0.25">
      <c r="C29">
        <v>28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2</v>
      </c>
    </row>
    <row r="30" spans="3:13" x14ac:dyDescent="0.25">
      <c r="C30">
        <v>29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2</v>
      </c>
    </row>
    <row r="31" spans="3:13" x14ac:dyDescent="0.25">
      <c r="C31">
        <v>30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2</v>
      </c>
    </row>
    <row r="32" spans="3:13" x14ac:dyDescent="0.25">
      <c r="C32">
        <v>31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2</v>
      </c>
    </row>
    <row r="33" spans="3:13" x14ac:dyDescent="0.25">
      <c r="C33">
        <v>32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2</v>
      </c>
    </row>
    <row r="34" spans="3:13" x14ac:dyDescent="0.25">
      <c r="C34">
        <v>33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2</v>
      </c>
    </row>
    <row r="35" spans="3:13" x14ac:dyDescent="0.25">
      <c r="C35">
        <v>34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2</v>
      </c>
    </row>
    <row r="36" spans="3:13" x14ac:dyDescent="0.25">
      <c r="C36">
        <v>35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2</v>
      </c>
    </row>
    <row r="37" spans="3:13" x14ac:dyDescent="0.25">
      <c r="C37">
        <v>36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2</v>
      </c>
    </row>
    <row r="38" spans="3:13" x14ac:dyDescent="0.25">
      <c r="C38">
        <v>37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2</v>
      </c>
    </row>
    <row r="39" spans="3:13" x14ac:dyDescent="0.25">
      <c r="C39">
        <v>38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2</v>
      </c>
    </row>
    <row r="40" spans="3:13" x14ac:dyDescent="0.25">
      <c r="C40">
        <v>39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2</v>
      </c>
    </row>
    <row r="41" spans="3:13" x14ac:dyDescent="0.25">
      <c r="C41">
        <v>40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2</v>
      </c>
    </row>
    <row r="42" spans="3:13" x14ac:dyDescent="0.25">
      <c r="C42">
        <v>41</v>
      </c>
      <c r="D42">
        <f>D41+$O$2*P$2/12</f>
        <v>0</v>
      </c>
      <c r="E42">
        <f t="shared" ref="E42:E53" si="0">E41+$O$2*Q$2/12</f>
        <v>0</v>
      </c>
      <c r="F42">
        <f t="shared" ref="F42:F53" si="1">F41+$O$2*R$2/12</f>
        <v>0</v>
      </c>
      <c r="G42">
        <f t="shared" ref="G42:G53" si="2">G41+$O$2*S$2/12</f>
        <v>0</v>
      </c>
      <c r="H42">
        <f t="shared" ref="H42:H53" si="3">H41+$O$2*T$2/12</f>
        <v>0</v>
      </c>
      <c r="I42">
        <f t="shared" ref="I42:I53" si="4">I41+$O$2*U$2/12</f>
        <v>0</v>
      </c>
      <c r="J42">
        <f t="shared" ref="J42:J53" si="5">J41+$O$2*V$2/12</f>
        <v>0</v>
      </c>
      <c r="K42">
        <f t="shared" ref="K42:K53" si="6">K41+$O$2*W$2/12</f>
        <v>0</v>
      </c>
      <c r="L42">
        <f t="shared" ref="L42:L53" si="7">L41+$O$2*X$2/12</f>
        <v>0</v>
      </c>
      <c r="M42">
        <v>2</v>
      </c>
    </row>
    <row r="43" spans="3:13" x14ac:dyDescent="0.25">
      <c r="C43">
        <v>42</v>
      </c>
      <c r="D43">
        <f t="shared" ref="D43:D53" si="8">D42+$O$2*P$2/12</f>
        <v>0</v>
      </c>
      <c r="E43">
        <f t="shared" si="0"/>
        <v>0</v>
      </c>
      <c r="F43">
        <f t="shared" si="1"/>
        <v>0</v>
      </c>
      <c r="G43">
        <f t="shared" si="2"/>
        <v>0</v>
      </c>
      <c r="H43">
        <f t="shared" si="3"/>
        <v>0</v>
      </c>
      <c r="I43">
        <f t="shared" si="4"/>
        <v>0</v>
      </c>
      <c r="J43">
        <f t="shared" si="5"/>
        <v>0</v>
      </c>
      <c r="K43">
        <f t="shared" si="6"/>
        <v>0</v>
      </c>
      <c r="L43">
        <f t="shared" si="7"/>
        <v>0</v>
      </c>
      <c r="M43">
        <v>2</v>
      </c>
    </row>
    <row r="44" spans="3:13" x14ac:dyDescent="0.25">
      <c r="C44">
        <v>43</v>
      </c>
      <c r="D44">
        <f t="shared" si="8"/>
        <v>0</v>
      </c>
      <c r="E44">
        <f t="shared" si="0"/>
        <v>0</v>
      </c>
      <c r="F44">
        <f t="shared" si="1"/>
        <v>0</v>
      </c>
      <c r="G44">
        <f t="shared" si="2"/>
        <v>0</v>
      </c>
      <c r="H44">
        <f t="shared" si="3"/>
        <v>0</v>
      </c>
      <c r="I44">
        <f t="shared" si="4"/>
        <v>0</v>
      </c>
      <c r="J44">
        <f t="shared" si="5"/>
        <v>0</v>
      </c>
      <c r="K44">
        <f t="shared" si="6"/>
        <v>0</v>
      </c>
      <c r="L44">
        <f t="shared" si="7"/>
        <v>0</v>
      </c>
      <c r="M44">
        <v>2</v>
      </c>
    </row>
    <row r="45" spans="3:13" x14ac:dyDescent="0.25">
      <c r="C45">
        <v>44</v>
      </c>
      <c r="D45">
        <f t="shared" si="8"/>
        <v>0</v>
      </c>
      <c r="E45">
        <f t="shared" si="0"/>
        <v>0</v>
      </c>
      <c r="F45">
        <f t="shared" si="1"/>
        <v>0</v>
      </c>
      <c r="G45">
        <f t="shared" si="2"/>
        <v>0</v>
      </c>
      <c r="H45">
        <f t="shared" si="3"/>
        <v>0</v>
      </c>
      <c r="I45">
        <f t="shared" si="4"/>
        <v>0</v>
      </c>
      <c r="J45">
        <f t="shared" si="5"/>
        <v>0</v>
      </c>
      <c r="K45">
        <f t="shared" si="6"/>
        <v>0</v>
      </c>
      <c r="L45">
        <f t="shared" si="7"/>
        <v>0</v>
      </c>
      <c r="M45">
        <v>2</v>
      </c>
    </row>
    <row r="46" spans="3:13" x14ac:dyDescent="0.25">
      <c r="C46">
        <v>45</v>
      </c>
      <c r="D46">
        <f t="shared" si="8"/>
        <v>0</v>
      </c>
      <c r="E46">
        <f t="shared" si="0"/>
        <v>0</v>
      </c>
      <c r="F46">
        <f t="shared" si="1"/>
        <v>0</v>
      </c>
      <c r="G46">
        <f t="shared" si="2"/>
        <v>0</v>
      </c>
      <c r="H46">
        <f t="shared" si="3"/>
        <v>0</v>
      </c>
      <c r="I46">
        <f t="shared" si="4"/>
        <v>0</v>
      </c>
      <c r="J46">
        <f t="shared" si="5"/>
        <v>0</v>
      </c>
      <c r="K46">
        <f t="shared" si="6"/>
        <v>0</v>
      </c>
      <c r="L46">
        <f t="shared" si="7"/>
        <v>0</v>
      </c>
      <c r="M46">
        <v>2</v>
      </c>
    </row>
    <row r="47" spans="3:13" x14ac:dyDescent="0.25">
      <c r="C47">
        <v>46</v>
      </c>
      <c r="D47">
        <f t="shared" si="8"/>
        <v>0</v>
      </c>
      <c r="E47">
        <f t="shared" si="0"/>
        <v>0</v>
      </c>
      <c r="F47">
        <f t="shared" si="1"/>
        <v>0</v>
      </c>
      <c r="G47">
        <f t="shared" si="2"/>
        <v>0</v>
      </c>
      <c r="H47">
        <f t="shared" si="3"/>
        <v>0</v>
      </c>
      <c r="I47">
        <f t="shared" si="4"/>
        <v>0</v>
      </c>
      <c r="J47">
        <f t="shared" si="5"/>
        <v>0</v>
      </c>
      <c r="K47">
        <f t="shared" si="6"/>
        <v>0</v>
      </c>
      <c r="L47">
        <f t="shared" si="7"/>
        <v>0</v>
      </c>
      <c r="M47">
        <v>2</v>
      </c>
    </row>
    <row r="48" spans="3:13" x14ac:dyDescent="0.25">
      <c r="C48">
        <v>47</v>
      </c>
      <c r="D48">
        <f t="shared" si="8"/>
        <v>0</v>
      </c>
      <c r="E48">
        <f t="shared" si="0"/>
        <v>0</v>
      </c>
      <c r="F48">
        <f t="shared" si="1"/>
        <v>0</v>
      </c>
      <c r="G48">
        <f t="shared" si="2"/>
        <v>0</v>
      </c>
      <c r="H48">
        <f t="shared" si="3"/>
        <v>0</v>
      </c>
      <c r="I48">
        <f t="shared" si="4"/>
        <v>0</v>
      </c>
      <c r="J48">
        <f t="shared" si="5"/>
        <v>0</v>
      </c>
      <c r="K48">
        <f t="shared" si="6"/>
        <v>0</v>
      </c>
      <c r="L48">
        <f t="shared" si="7"/>
        <v>0</v>
      </c>
      <c r="M48">
        <v>2</v>
      </c>
    </row>
    <row r="49" spans="3:13" x14ac:dyDescent="0.25">
      <c r="C49">
        <v>48</v>
      </c>
      <c r="D49">
        <f t="shared" si="8"/>
        <v>0</v>
      </c>
      <c r="E49">
        <f t="shared" si="0"/>
        <v>0</v>
      </c>
      <c r="F49">
        <f t="shared" si="1"/>
        <v>0</v>
      </c>
      <c r="G49">
        <f t="shared" si="2"/>
        <v>0</v>
      </c>
      <c r="H49">
        <f t="shared" si="3"/>
        <v>0</v>
      </c>
      <c r="I49">
        <f t="shared" si="4"/>
        <v>0</v>
      </c>
      <c r="J49">
        <f t="shared" si="5"/>
        <v>0</v>
      </c>
      <c r="K49">
        <f t="shared" si="6"/>
        <v>0</v>
      </c>
      <c r="L49">
        <f t="shared" si="7"/>
        <v>0</v>
      </c>
      <c r="M49">
        <v>2</v>
      </c>
    </row>
    <row r="50" spans="3:13" x14ac:dyDescent="0.25">
      <c r="C50">
        <v>49</v>
      </c>
      <c r="D50">
        <f t="shared" si="8"/>
        <v>0</v>
      </c>
      <c r="E50">
        <f t="shared" si="0"/>
        <v>0</v>
      </c>
      <c r="F50">
        <f t="shared" si="1"/>
        <v>0</v>
      </c>
      <c r="G50">
        <f t="shared" si="2"/>
        <v>0</v>
      </c>
      <c r="H50">
        <f t="shared" si="3"/>
        <v>0</v>
      </c>
      <c r="I50">
        <f t="shared" si="4"/>
        <v>0</v>
      </c>
      <c r="J50">
        <f t="shared" si="5"/>
        <v>0</v>
      </c>
      <c r="K50">
        <f t="shared" si="6"/>
        <v>0</v>
      </c>
      <c r="L50">
        <f t="shared" si="7"/>
        <v>0</v>
      </c>
      <c r="M50">
        <v>2</v>
      </c>
    </row>
    <row r="51" spans="3:13" x14ac:dyDescent="0.25">
      <c r="C51">
        <v>50</v>
      </c>
      <c r="D51">
        <f t="shared" si="8"/>
        <v>0</v>
      </c>
      <c r="E51">
        <f t="shared" si="0"/>
        <v>0</v>
      </c>
      <c r="F51">
        <f t="shared" si="1"/>
        <v>0</v>
      </c>
      <c r="G51">
        <f t="shared" si="2"/>
        <v>0</v>
      </c>
      <c r="H51">
        <f t="shared" si="3"/>
        <v>0</v>
      </c>
      <c r="I51">
        <f t="shared" si="4"/>
        <v>0</v>
      </c>
      <c r="J51">
        <f t="shared" si="5"/>
        <v>0</v>
      </c>
      <c r="K51">
        <f t="shared" si="6"/>
        <v>0</v>
      </c>
      <c r="L51">
        <f t="shared" si="7"/>
        <v>0</v>
      </c>
      <c r="M51">
        <v>2</v>
      </c>
    </row>
    <row r="52" spans="3:13" x14ac:dyDescent="0.25">
      <c r="C52">
        <v>51</v>
      </c>
      <c r="D52">
        <f t="shared" si="8"/>
        <v>0</v>
      </c>
      <c r="E52">
        <f t="shared" si="0"/>
        <v>0</v>
      </c>
      <c r="F52">
        <f t="shared" si="1"/>
        <v>0</v>
      </c>
      <c r="G52">
        <f t="shared" si="2"/>
        <v>0</v>
      </c>
      <c r="H52">
        <f t="shared" si="3"/>
        <v>0</v>
      </c>
      <c r="I52">
        <f t="shared" si="4"/>
        <v>0</v>
      </c>
      <c r="J52">
        <f t="shared" si="5"/>
        <v>0</v>
      </c>
      <c r="K52">
        <f t="shared" si="6"/>
        <v>0</v>
      </c>
      <c r="L52">
        <f t="shared" si="7"/>
        <v>0</v>
      </c>
      <c r="M52">
        <v>2</v>
      </c>
    </row>
    <row r="53" spans="3:13" x14ac:dyDescent="0.25">
      <c r="C53">
        <v>52</v>
      </c>
      <c r="D53">
        <f t="shared" si="8"/>
        <v>0</v>
      </c>
      <c r="E53">
        <f t="shared" si="0"/>
        <v>0</v>
      </c>
      <c r="F53">
        <f t="shared" si="1"/>
        <v>0</v>
      </c>
      <c r="G53">
        <f t="shared" si="2"/>
        <v>0</v>
      </c>
      <c r="H53">
        <f t="shared" si="3"/>
        <v>0</v>
      </c>
      <c r="I53">
        <f t="shared" si="4"/>
        <v>0</v>
      </c>
      <c r="J53">
        <f t="shared" si="5"/>
        <v>0</v>
      </c>
      <c r="K53">
        <f t="shared" si="6"/>
        <v>0</v>
      </c>
      <c r="L53">
        <f t="shared" si="7"/>
        <v>0</v>
      </c>
      <c r="M53">
        <v>2</v>
      </c>
    </row>
    <row r="106" spans="13:13" x14ac:dyDescent="0.25">
      <c r="M106" s="56"/>
    </row>
    <row r="107" spans="13:13" x14ac:dyDescent="0.25">
      <c r="M107" s="56"/>
    </row>
    <row r="108" spans="13:13" x14ac:dyDescent="0.25">
      <c r="M108" s="56"/>
    </row>
    <row r="109" spans="13:13" x14ac:dyDescent="0.25">
      <c r="M109" s="56"/>
    </row>
    <row r="110" spans="13:13" x14ac:dyDescent="0.25">
      <c r="M110" s="56"/>
    </row>
    <row r="111" spans="13:13" x14ac:dyDescent="0.25">
      <c r="M111" s="56"/>
    </row>
    <row r="112" spans="13:13" x14ac:dyDescent="0.25">
      <c r="M112" s="56"/>
    </row>
    <row r="113" spans="13:13" x14ac:dyDescent="0.25">
      <c r="M113" s="56"/>
    </row>
    <row r="114" spans="13:13" x14ac:dyDescent="0.25">
      <c r="M114" s="56"/>
    </row>
    <row r="115" spans="13:13" x14ac:dyDescent="0.25">
      <c r="M115" s="56"/>
    </row>
    <row r="116" spans="13:13" x14ac:dyDescent="0.25">
      <c r="M116" s="56"/>
    </row>
    <row r="117" spans="13:13" x14ac:dyDescent="0.25">
      <c r="M117" s="56"/>
    </row>
    <row r="118" spans="13:13" x14ac:dyDescent="0.25">
      <c r="M118" s="56"/>
    </row>
    <row r="119" spans="13:13" x14ac:dyDescent="0.25">
      <c r="M119" s="56"/>
    </row>
    <row r="120" spans="13:13" x14ac:dyDescent="0.25">
      <c r="M120" s="56"/>
    </row>
    <row r="121" spans="13:13" x14ac:dyDescent="0.25">
      <c r="M121" s="56"/>
    </row>
    <row r="122" spans="13:13" x14ac:dyDescent="0.25">
      <c r="M122" s="56"/>
    </row>
    <row r="123" spans="13:13" x14ac:dyDescent="0.25">
      <c r="M123" s="56"/>
    </row>
    <row r="124" spans="13:13" x14ac:dyDescent="0.25">
      <c r="M124" s="56"/>
    </row>
    <row r="125" spans="13:13" x14ac:dyDescent="0.25">
      <c r="M125" s="56"/>
    </row>
    <row r="126" spans="13:13" x14ac:dyDescent="0.25">
      <c r="M126" s="56"/>
    </row>
    <row r="127" spans="13:13" x14ac:dyDescent="0.25">
      <c r="M127" s="56"/>
    </row>
    <row r="128" spans="13:13" x14ac:dyDescent="0.25">
      <c r="M128" s="56"/>
    </row>
    <row r="129" spans="13:13" x14ac:dyDescent="0.25">
      <c r="M129" s="56"/>
    </row>
    <row r="130" spans="13:13" x14ac:dyDescent="0.25">
      <c r="M130" s="56"/>
    </row>
    <row r="131" spans="13:13" x14ac:dyDescent="0.25">
      <c r="M131" s="56"/>
    </row>
    <row r="132" spans="13:13" x14ac:dyDescent="0.25">
      <c r="M132" s="56"/>
    </row>
    <row r="133" spans="13:13" x14ac:dyDescent="0.25">
      <c r="M133" s="56"/>
    </row>
    <row r="134" spans="13:13" x14ac:dyDescent="0.25">
      <c r="M134" s="56"/>
    </row>
    <row r="135" spans="13:13" x14ac:dyDescent="0.25">
      <c r="M135" s="56"/>
    </row>
    <row r="136" spans="13:13" x14ac:dyDescent="0.25">
      <c r="M136" s="56"/>
    </row>
    <row r="137" spans="13:13" x14ac:dyDescent="0.25">
      <c r="M137" s="56"/>
    </row>
    <row r="138" spans="13:13" x14ac:dyDescent="0.25">
      <c r="M138" s="56"/>
    </row>
    <row r="139" spans="13:13" x14ac:dyDescent="0.25">
      <c r="M139" s="56"/>
    </row>
    <row r="140" spans="13:13" x14ac:dyDescent="0.25">
      <c r="M140" s="56"/>
    </row>
    <row r="141" spans="13:13" x14ac:dyDescent="0.25">
      <c r="M141" s="56"/>
    </row>
    <row r="142" spans="13:13" x14ac:dyDescent="0.25">
      <c r="M142" s="56"/>
    </row>
    <row r="143" spans="13:13" x14ac:dyDescent="0.25">
      <c r="M143" s="56"/>
    </row>
    <row r="144" spans="13:13" x14ac:dyDescent="0.25">
      <c r="M144" s="56"/>
    </row>
    <row r="145" spans="13:13" x14ac:dyDescent="0.25">
      <c r="M145" s="56"/>
    </row>
    <row r="146" spans="13:13" x14ac:dyDescent="0.25">
      <c r="M146" s="56"/>
    </row>
    <row r="147" spans="13:13" x14ac:dyDescent="0.25">
      <c r="M147" s="56"/>
    </row>
    <row r="148" spans="13:13" x14ac:dyDescent="0.25">
      <c r="M148" s="56"/>
    </row>
    <row r="149" spans="13:13" x14ac:dyDescent="0.25">
      <c r="M149" s="56"/>
    </row>
    <row r="150" spans="13:13" x14ac:dyDescent="0.25">
      <c r="M150" s="56"/>
    </row>
    <row r="151" spans="13:13" x14ac:dyDescent="0.25">
      <c r="M151" s="56"/>
    </row>
    <row r="152" spans="13:13" x14ac:dyDescent="0.25">
      <c r="M152" s="56"/>
    </row>
    <row r="153" spans="13:13" x14ac:dyDescent="0.25">
      <c r="M153" s="56"/>
    </row>
    <row r="154" spans="13:13" x14ac:dyDescent="0.25">
      <c r="M154" s="56"/>
    </row>
    <row r="155" spans="13:13" x14ac:dyDescent="0.25">
      <c r="M155" s="56"/>
    </row>
    <row r="156" spans="13:13" x14ac:dyDescent="0.25">
      <c r="M156" s="56"/>
    </row>
    <row r="157" spans="13:13" x14ac:dyDescent="0.25">
      <c r="M157" s="56"/>
    </row>
    <row r="158" spans="13:13" x14ac:dyDescent="0.25">
      <c r="M158" s="56"/>
    </row>
    <row r="159" spans="13:13" x14ac:dyDescent="0.25">
      <c r="M159" s="56"/>
    </row>
    <row r="160" spans="13:13" x14ac:dyDescent="0.25">
      <c r="M160" s="56"/>
    </row>
    <row r="161" spans="13:13" x14ac:dyDescent="0.25">
      <c r="M161" s="56"/>
    </row>
    <row r="162" spans="13:13" x14ac:dyDescent="0.25">
      <c r="M162" s="56"/>
    </row>
    <row r="163" spans="13:13" x14ac:dyDescent="0.25">
      <c r="M163" s="56"/>
    </row>
    <row r="164" spans="13:13" x14ac:dyDescent="0.25">
      <c r="M164" s="56"/>
    </row>
    <row r="165" spans="13:13" x14ac:dyDescent="0.25">
      <c r="M165" s="56"/>
    </row>
    <row r="166" spans="13:13" x14ac:dyDescent="0.25">
      <c r="M166" s="56"/>
    </row>
    <row r="167" spans="13:13" x14ac:dyDescent="0.25">
      <c r="M167" s="56"/>
    </row>
    <row r="168" spans="13:13" x14ac:dyDescent="0.25">
      <c r="M168" s="56"/>
    </row>
    <row r="169" spans="13:13" x14ac:dyDescent="0.25">
      <c r="M169" s="56"/>
    </row>
    <row r="170" spans="13:13" x14ac:dyDescent="0.25">
      <c r="M170" s="56"/>
    </row>
    <row r="171" spans="13:13" x14ac:dyDescent="0.25">
      <c r="M171" s="56"/>
    </row>
    <row r="172" spans="13:13" x14ac:dyDescent="0.25">
      <c r="M172" s="56"/>
    </row>
    <row r="173" spans="13:13" x14ac:dyDescent="0.25">
      <c r="M173" s="56"/>
    </row>
    <row r="174" spans="13:13" x14ac:dyDescent="0.25">
      <c r="M174" s="56"/>
    </row>
    <row r="175" spans="13:13" x14ac:dyDescent="0.25">
      <c r="M175" s="56"/>
    </row>
    <row r="176" spans="13:13" x14ac:dyDescent="0.25">
      <c r="M176" s="56"/>
    </row>
    <row r="177" spans="13:13" x14ac:dyDescent="0.25">
      <c r="M177" s="56"/>
    </row>
    <row r="178" spans="13:13" x14ac:dyDescent="0.25">
      <c r="M178" s="56"/>
    </row>
    <row r="179" spans="13:13" x14ac:dyDescent="0.25">
      <c r="M179" s="56"/>
    </row>
    <row r="180" spans="13:13" x14ac:dyDescent="0.25">
      <c r="M180" s="56"/>
    </row>
    <row r="181" spans="13:13" x14ac:dyDescent="0.25">
      <c r="M181" s="56"/>
    </row>
    <row r="182" spans="13:13" x14ac:dyDescent="0.25">
      <c r="M182" s="56"/>
    </row>
    <row r="183" spans="13:13" x14ac:dyDescent="0.25">
      <c r="M183" s="56"/>
    </row>
    <row r="184" spans="13:13" x14ac:dyDescent="0.25">
      <c r="M184" s="56"/>
    </row>
    <row r="185" spans="13:13" x14ac:dyDescent="0.25">
      <c r="M185" s="56"/>
    </row>
    <row r="186" spans="13:13" x14ac:dyDescent="0.25">
      <c r="M186" s="56"/>
    </row>
    <row r="187" spans="13:13" x14ac:dyDescent="0.25">
      <c r="M187" s="56"/>
    </row>
    <row r="188" spans="13:13" x14ac:dyDescent="0.25">
      <c r="M188" s="56"/>
    </row>
    <row r="189" spans="13:13" x14ac:dyDescent="0.25">
      <c r="M189" s="56"/>
    </row>
    <row r="190" spans="13:13" x14ac:dyDescent="0.25">
      <c r="M190" s="56"/>
    </row>
    <row r="191" spans="13:13" x14ac:dyDescent="0.25">
      <c r="M191" s="56"/>
    </row>
    <row r="192" spans="13:13" x14ac:dyDescent="0.25">
      <c r="M192" s="56"/>
    </row>
    <row r="193" spans="13:13" x14ac:dyDescent="0.25">
      <c r="M193" s="56"/>
    </row>
    <row r="194" spans="13:13" x14ac:dyDescent="0.25">
      <c r="M194" s="56"/>
    </row>
    <row r="195" spans="13:13" x14ac:dyDescent="0.25">
      <c r="M195" s="56"/>
    </row>
    <row r="196" spans="13:13" x14ac:dyDescent="0.25">
      <c r="M196" s="56"/>
    </row>
    <row r="197" spans="13:13" x14ac:dyDescent="0.25">
      <c r="M197" s="56"/>
    </row>
    <row r="198" spans="13:13" x14ac:dyDescent="0.25">
      <c r="M198" s="56"/>
    </row>
    <row r="199" spans="13:13" x14ac:dyDescent="0.25">
      <c r="M199" s="56"/>
    </row>
    <row r="200" spans="13:13" x14ac:dyDescent="0.25">
      <c r="M200" s="56"/>
    </row>
    <row r="201" spans="13:13" x14ac:dyDescent="0.25">
      <c r="M201" s="56"/>
    </row>
    <row r="202" spans="13:13" x14ac:dyDescent="0.25">
      <c r="M202" s="56"/>
    </row>
    <row r="203" spans="13:13" x14ac:dyDescent="0.25">
      <c r="M203" s="56"/>
    </row>
    <row r="204" spans="13:13" x14ac:dyDescent="0.25">
      <c r="M204" s="56"/>
    </row>
    <row r="205" spans="13:13" x14ac:dyDescent="0.25">
      <c r="M205" s="56"/>
    </row>
    <row r="206" spans="13:13" x14ac:dyDescent="0.25">
      <c r="M206" s="56"/>
    </row>
    <row r="207" spans="13:13" x14ac:dyDescent="0.25">
      <c r="M207" s="56"/>
    </row>
    <row r="208" spans="13:13" x14ac:dyDescent="0.25">
      <c r="M208" s="56"/>
    </row>
    <row r="209" spans="13:13" x14ac:dyDescent="0.25">
      <c r="M209" s="56"/>
    </row>
    <row r="210" spans="13:13" x14ac:dyDescent="0.25">
      <c r="M210" s="56"/>
    </row>
    <row r="211" spans="13:13" x14ac:dyDescent="0.25">
      <c r="M211" s="56"/>
    </row>
    <row r="212" spans="13:13" x14ac:dyDescent="0.25">
      <c r="M212" s="56"/>
    </row>
    <row r="213" spans="13:13" x14ac:dyDescent="0.25">
      <c r="M213" s="56"/>
    </row>
    <row r="214" spans="13:13" x14ac:dyDescent="0.25">
      <c r="M214" s="56"/>
    </row>
    <row r="215" spans="13:13" x14ac:dyDescent="0.25">
      <c r="M215" s="56"/>
    </row>
    <row r="216" spans="13:13" x14ac:dyDescent="0.25">
      <c r="M216" s="56"/>
    </row>
    <row r="217" spans="13:13" x14ac:dyDescent="0.25">
      <c r="M217" s="56"/>
    </row>
    <row r="218" spans="13:13" x14ac:dyDescent="0.25">
      <c r="M218" s="56"/>
    </row>
    <row r="219" spans="13:13" x14ac:dyDescent="0.25">
      <c r="M219" s="56"/>
    </row>
    <row r="220" spans="13:13" x14ac:dyDescent="0.25">
      <c r="M220" s="56"/>
    </row>
    <row r="221" spans="13:13" x14ac:dyDescent="0.25">
      <c r="M221" s="56"/>
    </row>
    <row r="222" spans="13:13" x14ac:dyDescent="0.25">
      <c r="M222" s="56"/>
    </row>
    <row r="223" spans="13:13" x14ac:dyDescent="0.25">
      <c r="M223" s="56"/>
    </row>
    <row r="224" spans="13:13" x14ac:dyDescent="0.25">
      <c r="M224" s="56"/>
    </row>
    <row r="225" spans="13:13" x14ac:dyDescent="0.25">
      <c r="M225" s="56"/>
    </row>
    <row r="226" spans="13:13" x14ac:dyDescent="0.25">
      <c r="M226" s="56"/>
    </row>
    <row r="227" spans="13:13" x14ac:dyDescent="0.25">
      <c r="M227" s="56"/>
    </row>
    <row r="228" spans="13:13" x14ac:dyDescent="0.25">
      <c r="M228" s="56"/>
    </row>
    <row r="229" spans="13:13" x14ac:dyDescent="0.25">
      <c r="M229" s="56"/>
    </row>
    <row r="230" spans="13:13" x14ac:dyDescent="0.25">
      <c r="M230" s="56"/>
    </row>
    <row r="231" spans="13:13" x14ac:dyDescent="0.25">
      <c r="M231" s="56"/>
    </row>
    <row r="232" spans="13:13" x14ac:dyDescent="0.25">
      <c r="M232" s="56"/>
    </row>
    <row r="233" spans="13:13" x14ac:dyDescent="0.25">
      <c r="M233" s="56"/>
    </row>
    <row r="234" spans="13:13" x14ac:dyDescent="0.25">
      <c r="M234" s="56"/>
    </row>
    <row r="235" spans="13:13" x14ac:dyDescent="0.25">
      <c r="M235" s="56"/>
    </row>
    <row r="236" spans="13:13" x14ac:dyDescent="0.25">
      <c r="M236" s="56"/>
    </row>
    <row r="237" spans="13:13" x14ac:dyDescent="0.25">
      <c r="M237" s="56"/>
    </row>
    <row r="238" spans="13:13" x14ac:dyDescent="0.25">
      <c r="M238" s="56"/>
    </row>
    <row r="239" spans="13:13" x14ac:dyDescent="0.25">
      <c r="M239" s="56"/>
    </row>
    <row r="240" spans="13:13" x14ac:dyDescent="0.25">
      <c r="M240" s="56"/>
    </row>
    <row r="241" spans="13:13" x14ac:dyDescent="0.25">
      <c r="M241" s="56"/>
    </row>
    <row r="242" spans="13:13" x14ac:dyDescent="0.25">
      <c r="M242" s="56"/>
    </row>
    <row r="243" spans="13:13" x14ac:dyDescent="0.25">
      <c r="M243" s="56"/>
    </row>
    <row r="244" spans="13:13" x14ac:dyDescent="0.25">
      <c r="M244" s="56"/>
    </row>
    <row r="245" spans="13:13" x14ac:dyDescent="0.25">
      <c r="M245" s="56"/>
    </row>
    <row r="246" spans="13:13" x14ac:dyDescent="0.25">
      <c r="M246" s="56"/>
    </row>
    <row r="247" spans="13:13" x14ac:dyDescent="0.25">
      <c r="M247" s="56"/>
    </row>
    <row r="248" spans="13:13" x14ac:dyDescent="0.25">
      <c r="M248" s="56"/>
    </row>
    <row r="249" spans="13:13" x14ac:dyDescent="0.25">
      <c r="M249" s="56"/>
    </row>
    <row r="250" spans="13:13" x14ac:dyDescent="0.25">
      <c r="M250" s="56"/>
    </row>
    <row r="251" spans="13:13" x14ac:dyDescent="0.25">
      <c r="M251" s="56"/>
    </row>
    <row r="252" spans="13:13" x14ac:dyDescent="0.25">
      <c r="M252" s="56"/>
    </row>
    <row r="253" spans="13:13" x14ac:dyDescent="0.25">
      <c r="M253" s="56"/>
    </row>
    <row r="254" spans="13:13" x14ac:dyDescent="0.25">
      <c r="M254" s="56"/>
    </row>
    <row r="255" spans="13:13" x14ac:dyDescent="0.25">
      <c r="M255" s="56"/>
    </row>
    <row r="256" spans="13:13" x14ac:dyDescent="0.25">
      <c r="M256" s="56"/>
    </row>
    <row r="257" spans="13:13" x14ac:dyDescent="0.25">
      <c r="M257" s="56"/>
    </row>
    <row r="258" spans="13:13" x14ac:dyDescent="0.25">
      <c r="M258" s="56"/>
    </row>
    <row r="259" spans="13:13" x14ac:dyDescent="0.25">
      <c r="M259" s="56"/>
    </row>
    <row r="260" spans="13:13" x14ac:dyDescent="0.25">
      <c r="M260" s="56"/>
    </row>
    <row r="261" spans="13:13" x14ac:dyDescent="0.25">
      <c r="M261" s="56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1D3AB-A2BC-4FF8-804B-C12512912163}">
  <sheetPr codeName="Feuil1">
    <tabColor rgb="FFFFC000"/>
  </sheetPr>
  <dimension ref="A1:H36"/>
  <sheetViews>
    <sheetView workbookViewId="0">
      <selection activeCell="B4" sqref="B4"/>
    </sheetView>
  </sheetViews>
  <sheetFormatPr baseColWidth="10" defaultColWidth="11" defaultRowHeight="15.75" x14ac:dyDescent="0.25"/>
  <cols>
    <col min="3" max="3" width="13.625" bestFit="1" customWidth="1"/>
    <col min="4" max="4" width="56.375" bestFit="1" customWidth="1"/>
    <col min="5" max="5" width="11.875" bestFit="1" customWidth="1"/>
    <col min="8" max="8" width="22.375" bestFit="1" customWidth="1"/>
  </cols>
  <sheetData>
    <row r="1" spans="1:8" x14ac:dyDescent="0.25">
      <c r="A1" s="6" t="s">
        <v>88</v>
      </c>
      <c r="C1" s="6" t="s">
        <v>50</v>
      </c>
      <c r="D1" s="6" t="s">
        <v>51</v>
      </c>
      <c r="E1" s="6" t="s">
        <v>52</v>
      </c>
      <c r="F1" s="6"/>
      <c r="G1" s="6"/>
      <c r="H1" s="6"/>
    </row>
    <row r="2" spans="1:8" x14ac:dyDescent="0.25">
      <c r="A2" s="15" t="s">
        <v>81</v>
      </c>
      <c r="C2" t="s">
        <v>69</v>
      </c>
      <c r="D2" t="s">
        <v>70</v>
      </c>
      <c r="E2" s="16">
        <v>7</v>
      </c>
      <c r="F2" s="16"/>
      <c r="G2" s="16"/>
    </row>
    <row r="3" spans="1:8" x14ac:dyDescent="0.25">
      <c r="A3" s="6" t="s">
        <v>50</v>
      </c>
      <c r="C3" t="s">
        <v>71</v>
      </c>
      <c r="D3" t="s">
        <v>72</v>
      </c>
      <c r="E3" s="16">
        <v>1</v>
      </c>
      <c r="F3" s="16"/>
      <c r="G3" s="16"/>
    </row>
    <row r="4" spans="1:8" x14ac:dyDescent="0.25">
      <c r="A4" t="s">
        <v>114</v>
      </c>
      <c r="C4" t="s">
        <v>73</v>
      </c>
      <c r="D4" t="s">
        <v>74</v>
      </c>
      <c r="E4" s="16">
        <v>0</v>
      </c>
      <c r="F4" s="32"/>
      <c r="G4" s="32"/>
    </row>
    <row r="5" spans="1:8" x14ac:dyDescent="0.25">
      <c r="C5" t="s">
        <v>75</v>
      </c>
      <c r="D5" t="s">
        <v>76</v>
      </c>
      <c r="E5" s="16">
        <v>160</v>
      </c>
      <c r="F5" s="16"/>
      <c r="G5" s="16"/>
    </row>
    <row r="6" spans="1:8" x14ac:dyDescent="0.25">
      <c r="C6" t="s">
        <v>77</v>
      </c>
      <c r="D6" t="s">
        <v>78</v>
      </c>
      <c r="E6" s="16">
        <v>160</v>
      </c>
      <c r="F6" s="16"/>
      <c r="G6" s="16"/>
    </row>
    <row r="7" spans="1:8" x14ac:dyDescent="0.25">
      <c r="C7" t="s">
        <v>79</v>
      </c>
      <c r="D7" t="s">
        <v>80</v>
      </c>
      <c r="E7" s="16">
        <v>1</v>
      </c>
      <c r="F7" s="16"/>
      <c r="G7" s="16"/>
    </row>
    <row r="8" spans="1:8" x14ac:dyDescent="0.25">
      <c r="E8" s="16"/>
      <c r="F8" s="16"/>
      <c r="G8" s="16"/>
    </row>
    <row r="11" spans="1:8" x14ac:dyDescent="0.25">
      <c r="E11" s="16"/>
      <c r="F11" s="16"/>
      <c r="G11" s="16"/>
    </row>
    <row r="12" spans="1:8" x14ac:dyDescent="0.25">
      <c r="E12" s="16"/>
      <c r="F12" s="16"/>
      <c r="G12" s="16"/>
    </row>
    <row r="13" spans="1:8" x14ac:dyDescent="0.25">
      <c r="E13" s="16"/>
      <c r="F13" s="16"/>
      <c r="G13" s="16"/>
    </row>
    <row r="14" spans="1:8" x14ac:dyDescent="0.25">
      <c r="E14" s="16"/>
      <c r="F14" s="16"/>
      <c r="G14" s="16"/>
    </row>
    <row r="15" spans="1:8" x14ac:dyDescent="0.25">
      <c r="E15" s="16"/>
      <c r="F15" s="16"/>
      <c r="G15" s="16"/>
    </row>
    <row r="16" spans="1:8" x14ac:dyDescent="0.25">
      <c r="E16" s="16"/>
      <c r="F16" s="16"/>
      <c r="G16" s="16"/>
    </row>
    <row r="17" spans="5:7" x14ac:dyDescent="0.25">
      <c r="E17" s="16"/>
      <c r="F17" s="16"/>
      <c r="G17" s="16"/>
    </row>
    <row r="18" spans="5:7" x14ac:dyDescent="0.25">
      <c r="E18" s="16"/>
      <c r="F18" s="16"/>
      <c r="G18" s="16"/>
    </row>
    <row r="19" spans="5:7" x14ac:dyDescent="0.25">
      <c r="E19" s="16"/>
      <c r="F19" s="16"/>
      <c r="G19" s="16"/>
    </row>
    <row r="20" spans="5:7" x14ac:dyDescent="0.25">
      <c r="E20" s="16"/>
      <c r="F20" s="16"/>
      <c r="G20" s="16"/>
    </row>
    <row r="27" spans="5:7" x14ac:dyDescent="0.25">
      <c r="E27" s="3"/>
      <c r="G27" s="3"/>
    </row>
    <row r="28" spans="5:7" x14ac:dyDescent="0.25">
      <c r="E28" s="3"/>
      <c r="G28" s="3"/>
    </row>
    <row r="29" spans="5:7" x14ac:dyDescent="0.25">
      <c r="E29" s="3"/>
      <c r="G29" s="3"/>
    </row>
    <row r="30" spans="5:7" x14ac:dyDescent="0.25">
      <c r="E30" s="3"/>
      <c r="G30" s="3"/>
    </row>
    <row r="31" spans="5:7" x14ac:dyDescent="0.25">
      <c r="E31" s="3"/>
    </row>
    <row r="32" spans="5:7" x14ac:dyDescent="0.25">
      <c r="E32" s="3"/>
    </row>
    <row r="33" spans="5:5" x14ac:dyDescent="0.25">
      <c r="E33" s="3"/>
    </row>
    <row r="34" spans="5:5" x14ac:dyDescent="0.25">
      <c r="E34" s="3"/>
    </row>
    <row r="35" spans="5:5" x14ac:dyDescent="0.25">
      <c r="E35" s="3"/>
    </row>
    <row r="36" spans="5:5" x14ac:dyDescent="0.25">
      <c r="E36" s="3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140BF-D65A-4E94-834B-17A06A221EA6}">
  <sheetPr codeName="Feuil20"/>
  <dimension ref="A1:Y13"/>
  <sheetViews>
    <sheetView workbookViewId="0">
      <selection activeCell="A4" sqref="A4"/>
    </sheetView>
  </sheetViews>
  <sheetFormatPr baseColWidth="10" defaultRowHeight="15.75" x14ac:dyDescent="0.25"/>
  <cols>
    <col min="4" max="4" width="17.25" customWidth="1"/>
  </cols>
  <sheetData>
    <row r="1" spans="1:25" x14ac:dyDescent="0.25">
      <c r="A1" s="6" t="s">
        <v>88</v>
      </c>
      <c r="C1" s="10" t="s">
        <v>90</v>
      </c>
      <c r="D1" s="6" t="s">
        <v>89</v>
      </c>
      <c r="E1" s="6" t="s">
        <v>88</v>
      </c>
      <c r="G1" s="10" t="s">
        <v>90</v>
      </c>
      <c r="H1" s="6" t="s">
        <v>89</v>
      </c>
      <c r="I1" s="6" t="s">
        <v>88</v>
      </c>
      <c r="K1" s="13"/>
      <c r="M1" s="13"/>
      <c r="O1" s="13"/>
      <c r="Q1" s="13"/>
      <c r="S1" s="13"/>
      <c r="U1" s="13"/>
      <c r="W1" s="13"/>
      <c r="Y1" s="13"/>
    </row>
    <row r="2" spans="1:25" x14ac:dyDescent="0.25">
      <c r="A2" s="15" t="s">
        <v>91</v>
      </c>
      <c r="C2" t="s">
        <v>138</v>
      </c>
      <c r="D2" t="s">
        <v>577</v>
      </c>
      <c r="E2" t="s">
        <v>234</v>
      </c>
      <c r="G2" t="s">
        <v>138</v>
      </c>
      <c r="H2" t="s">
        <v>577</v>
      </c>
      <c r="I2" t="s">
        <v>234</v>
      </c>
    </row>
    <row r="3" spans="1:25" x14ac:dyDescent="0.25">
      <c r="A3" s="6" t="s">
        <v>50</v>
      </c>
      <c r="C3" t="s">
        <v>123</v>
      </c>
      <c r="D3" t="s">
        <v>585</v>
      </c>
      <c r="E3" t="s">
        <v>234</v>
      </c>
      <c r="G3" t="s">
        <v>123</v>
      </c>
      <c r="H3" t="s">
        <v>585</v>
      </c>
      <c r="I3" t="s">
        <v>234</v>
      </c>
    </row>
    <row r="4" spans="1:25" x14ac:dyDescent="0.25">
      <c r="A4" s="20" t="s">
        <v>598</v>
      </c>
      <c r="C4" t="s">
        <v>95</v>
      </c>
      <c r="D4" t="s">
        <v>95</v>
      </c>
      <c r="E4" t="s">
        <v>234</v>
      </c>
      <c r="G4" t="s">
        <v>95</v>
      </c>
      <c r="H4" t="s">
        <v>95</v>
      </c>
      <c r="I4" t="s">
        <v>234</v>
      </c>
    </row>
    <row r="5" spans="1:25" x14ac:dyDescent="0.25">
      <c r="A5" s="20"/>
      <c r="C5" t="s">
        <v>35</v>
      </c>
      <c r="D5" t="s">
        <v>35</v>
      </c>
      <c r="E5" t="s">
        <v>234</v>
      </c>
      <c r="G5" t="s">
        <v>35</v>
      </c>
      <c r="H5" t="s">
        <v>35</v>
      </c>
      <c r="I5" t="s">
        <v>234</v>
      </c>
    </row>
    <row r="6" spans="1:25" x14ac:dyDescent="0.25">
      <c r="C6" t="s">
        <v>18</v>
      </c>
      <c r="D6" t="s">
        <v>18</v>
      </c>
      <c r="E6" t="s">
        <v>234</v>
      </c>
      <c r="G6" t="s">
        <v>18</v>
      </c>
      <c r="H6" t="s">
        <v>18</v>
      </c>
      <c r="I6" t="s">
        <v>234</v>
      </c>
    </row>
    <row r="7" spans="1:25" x14ac:dyDescent="0.25">
      <c r="C7" t="s">
        <v>16</v>
      </c>
      <c r="D7" t="s">
        <v>16</v>
      </c>
      <c r="E7" t="s">
        <v>234</v>
      </c>
      <c r="G7" t="s">
        <v>16</v>
      </c>
      <c r="H7" t="s">
        <v>16</v>
      </c>
      <c r="I7" t="s">
        <v>234</v>
      </c>
    </row>
    <row r="8" spans="1:25" x14ac:dyDescent="0.25">
      <c r="C8" t="s">
        <v>87</v>
      </c>
      <c r="D8" t="s">
        <v>87</v>
      </c>
      <c r="E8" t="s">
        <v>234</v>
      </c>
      <c r="G8" t="s">
        <v>87</v>
      </c>
      <c r="H8" t="s">
        <v>87</v>
      </c>
      <c r="I8" t="s">
        <v>234</v>
      </c>
    </row>
    <row r="9" spans="1:25" x14ac:dyDescent="0.25">
      <c r="C9" t="s">
        <v>17</v>
      </c>
      <c r="D9" t="s">
        <v>17</v>
      </c>
      <c r="E9" t="s">
        <v>234</v>
      </c>
      <c r="G9" t="s">
        <v>17</v>
      </c>
      <c r="H9" t="s">
        <v>17</v>
      </c>
      <c r="I9" t="s">
        <v>234</v>
      </c>
    </row>
    <row r="10" spans="1:25" x14ac:dyDescent="0.25">
      <c r="C10" t="s">
        <v>86</v>
      </c>
      <c r="D10" t="s">
        <v>599</v>
      </c>
      <c r="E10" t="s">
        <v>85</v>
      </c>
      <c r="G10" t="s">
        <v>86</v>
      </c>
      <c r="H10" t="s">
        <v>589</v>
      </c>
      <c r="I10" t="s">
        <v>85</v>
      </c>
    </row>
    <row r="11" spans="1:25" x14ac:dyDescent="0.25">
      <c r="C11" t="s">
        <v>84</v>
      </c>
      <c r="D11" t="s">
        <v>578</v>
      </c>
      <c r="E11" t="s">
        <v>579</v>
      </c>
      <c r="G11" t="s">
        <v>84</v>
      </c>
      <c r="H11" t="s">
        <v>578</v>
      </c>
      <c r="I11" t="s">
        <v>579</v>
      </c>
    </row>
    <row r="13" spans="1:25" x14ac:dyDescent="0.25">
      <c r="H13" s="22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74694-4531-4087-B0D8-0901E5D5A09A}">
  <sheetPr codeName="Feuil91"/>
  <dimension ref="A1:O327"/>
  <sheetViews>
    <sheetView workbookViewId="0">
      <selection activeCell="B2" sqref="B2"/>
    </sheetView>
  </sheetViews>
  <sheetFormatPr baseColWidth="10" defaultRowHeight="15" x14ac:dyDescent="0.25"/>
  <cols>
    <col min="1" max="16384" width="11" style="54"/>
  </cols>
  <sheetData>
    <row r="1" spans="1:15" ht="15.75" x14ac:dyDescent="0.25">
      <c r="A1" s="53" t="s">
        <v>88</v>
      </c>
      <c r="C1" s="55"/>
      <c r="D1" s="55"/>
      <c r="E1" s="55"/>
      <c r="F1" s="55"/>
      <c r="G1" s="55"/>
    </row>
    <row r="2" spans="1:15" x14ac:dyDescent="0.25">
      <c r="A2" s="54" t="s">
        <v>234</v>
      </c>
      <c r="C2" s="63"/>
      <c r="N2" s="55"/>
      <c r="O2" s="55"/>
    </row>
    <row r="3" spans="1:15" ht="15.75" x14ac:dyDescent="0.25">
      <c r="A3" s="53" t="s">
        <v>50</v>
      </c>
      <c r="C3" s="63"/>
    </row>
    <row r="4" spans="1:15" ht="15.75" x14ac:dyDescent="0.25">
      <c r="A4" t="s">
        <v>95</v>
      </c>
      <c r="C4" s="63"/>
    </row>
    <row r="5" spans="1:15" x14ac:dyDescent="0.25">
      <c r="C5" s="63"/>
    </row>
    <row r="6" spans="1:15" x14ac:dyDescent="0.25">
      <c r="C6" s="63"/>
    </row>
    <row r="7" spans="1:15" x14ac:dyDescent="0.25">
      <c r="C7" s="63"/>
    </row>
    <row r="8" spans="1:15" x14ac:dyDescent="0.25">
      <c r="C8" s="63"/>
    </row>
    <row r="9" spans="1:15" x14ac:dyDescent="0.25">
      <c r="C9" s="63"/>
    </row>
    <row r="10" spans="1:15" x14ac:dyDescent="0.25">
      <c r="C10" s="63"/>
    </row>
    <row r="11" spans="1:15" x14ac:dyDescent="0.25">
      <c r="C11" s="63"/>
    </row>
    <row r="12" spans="1:15" x14ac:dyDescent="0.25">
      <c r="C12" s="63"/>
    </row>
    <row r="13" spans="1:15" x14ac:dyDescent="0.25">
      <c r="C13" s="63"/>
    </row>
    <row r="14" spans="1:15" x14ac:dyDescent="0.25">
      <c r="C14" s="63"/>
    </row>
    <row r="15" spans="1:15" x14ac:dyDescent="0.25">
      <c r="C15" s="63"/>
    </row>
    <row r="16" spans="1:15" x14ac:dyDescent="0.25">
      <c r="C16" s="63"/>
    </row>
    <row r="17" spans="3:3" x14ac:dyDescent="0.25">
      <c r="C17" s="63"/>
    </row>
    <row r="18" spans="3:3" x14ac:dyDescent="0.25">
      <c r="C18" s="63"/>
    </row>
    <row r="19" spans="3:3" x14ac:dyDescent="0.25">
      <c r="C19" s="63"/>
    </row>
    <row r="20" spans="3:3" x14ac:dyDescent="0.25">
      <c r="C20" s="63"/>
    </row>
    <row r="21" spans="3:3" x14ac:dyDescent="0.25">
      <c r="C21" s="63"/>
    </row>
    <row r="22" spans="3:3" x14ac:dyDescent="0.25">
      <c r="C22" s="63"/>
    </row>
    <row r="23" spans="3:3" x14ac:dyDescent="0.25">
      <c r="C23" s="63"/>
    </row>
    <row r="24" spans="3:3" x14ac:dyDescent="0.25">
      <c r="C24" s="63"/>
    </row>
    <row r="25" spans="3:3" x14ac:dyDescent="0.25">
      <c r="C25" s="63"/>
    </row>
    <row r="26" spans="3:3" x14ac:dyDescent="0.25">
      <c r="C26" s="63"/>
    </row>
    <row r="27" spans="3:3" x14ac:dyDescent="0.25">
      <c r="C27" s="63"/>
    </row>
    <row r="28" spans="3:3" x14ac:dyDescent="0.25">
      <c r="C28" s="63"/>
    </row>
    <row r="29" spans="3:3" x14ac:dyDescent="0.25">
      <c r="C29" s="63"/>
    </row>
    <row r="30" spans="3:3" x14ac:dyDescent="0.25">
      <c r="C30" s="63"/>
    </row>
    <row r="31" spans="3:3" x14ac:dyDescent="0.25">
      <c r="C31" s="63"/>
    </row>
    <row r="32" spans="3:3" x14ac:dyDescent="0.25">
      <c r="C32" s="63"/>
    </row>
    <row r="33" spans="3:3" x14ac:dyDescent="0.25">
      <c r="C33" s="63"/>
    </row>
    <row r="34" spans="3:3" x14ac:dyDescent="0.25">
      <c r="C34" s="63"/>
    </row>
    <row r="35" spans="3:3" x14ac:dyDescent="0.25">
      <c r="C35" s="63"/>
    </row>
    <row r="36" spans="3:3" x14ac:dyDescent="0.25">
      <c r="C36" s="63"/>
    </row>
    <row r="37" spans="3:3" x14ac:dyDescent="0.25">
      <c r="C37" s="63"/>
    </row>
    <row r="38" spans="3:3" x14ac:dyDescent="0.25">
      <c r="C38" s="63"/>
    </row>
    <row r="39" spans="3:3" x14ac:dyDescent="0.25">
      <c r="C39" s="63"/>
    </row>
    <row r="40" spans="3:3" x14ac:dyDescent="0.25">
      <c r="C40" s="63"/>
    </row>
    <row r="41" spans="3:3" x14ac:dyDescent="0.25">
      <c r="C41" s="63"/>
    </row>
    <row r="42" spans="3:3" x14ac:dyDescent="0.25">
      <c r="C42" s="63"/>
    </row>
    <row r="43" spans="3:3" x14ac:dyDescent="0.25">
      <c r="C43" s="63"/>
    </row>
    <row r="44" spans="3:3" x14ac:dyDescent="0.25">
      <c r="C44" s="63"/>
    </row>
    <row r="45" spans="3:3" x14ac:dyDescent="0.25">
      <c r="C45" s="63"/>
    </row>
    <row r="46" spans="3:3" x14ac:dyDescent="0.25">
      <c r="C46" s="63"/>
    </row>
    <row r="47" spans="3:3" x14ac:dyDescent="0.25">
      <c r="C47" s="63"/>
    </row>
    <row r="48" spans="3:3" x14ac:dyDescent="0.25">
      <c r="C48" s="63"/>
    </row>
    <row r="49" spans="3:3" x14ac:dyDescent="0.25">
      <c r="C49" s="63"/>
    </row>
    <row r="50" spans="3:3" x14ac:dyDescent="0.25">
      <c r="C50" s="63"/>
    </row>
    <row r="51" spans="3:3" x14ac:dyDescent="0.25">
      <c r="C51" s="63"/>
    </row>
    <row r="52" spans="3:3" x14ac:dyDescent="0.25">
      <c r="C52" s="63"/>
    </row>
    <row r="53" spans="3:3" x14ac:dyDescent="0.25">
      <c r="C53" s="63"/>
    </row>
    <row r="54" spans="3:3" x14ac:dyDescent="0.25">
      <c r="C54" s="63"/>
    </row>
    <row r="55" spans="3:3" x14ac:dyDescent="0.25">
      <c r="C55" s="63"/>
    </row>
    <row r="56" spans="3:3" x14ac:dyDescent="0.25">
      <c r="C56" s="63"/>
    </row>
    <row r="57" spans="3:3" x14ac:dyDescent="0.25">
      <c r="C57" s="63"/>
    </row>
    <row r="58" spans="3:3" x14ac:dyDescent="0.25">
      <c r="C58" s="63"/>
    </row>
    <row r="59" spans="3:3" x14ac:dyDescent="0.25">
      <c r="C59" s="63"/>
    </row>
    <row r="60" spans="3:3" x14ac:dyDescent="0.25">
      <c r="C60" s="63"/>
    </row>
    <row r="61" spans="3:3" x14ac:dyDescent="0.25">
      <c r="C61" s="63"/>
    </row>
    <row r="62" spans="3:3" x14ac:dyDescent="0.25">
      <c r="C62" s="63"/>
    </row>
    <row r="63" spans="3:3" x14ac:dyDescent="0.25">
      <c r="C63" s="63"/>
    </row>
    <row r="64" spans="3:3" x14ac:dyDescent="0.25">
      <c r="C64" s="63"/>
    </row>
    <row r="65" spans="3:3" x14ac:dyDescent="0.25">
      <c r="C65" s="63"/>
    </row>
    <row r="66" spans="3:3" x14ac:dyDescent="0.25">
      <c r="C66" s="63"/>
    </row>
    <row r="67" spans="3:3" x14ac:dyDescent="0.25">
      <c r="C67" s="63"/>
    </row>
    <row r="68" spans="3:3" x14ac:dyDescent="0.25">
      <c r="C68" s="63"/>
    </row>
    <row r="69" spans="3:3" x14ac:dyDescent="0.25">
      <c r="C69" s="63"/>
    </row>
    <row r="70" spans="3:3" x14ac:dyDescent="0.25">
      <c r="C70" s="63"/>
    </row>
    <row r="71" spans="3:3" x14ac:dyDescent="0.25">
      <c r="C71" s="63"/>
    </row>
    <row r="72" spans="3:3" x14ac:dyDescent="0.25">
      <c r="C72" s="63"/>
    </row>
    <row r="73" spans="3:3" x14ac:dyDescent="0.25">
      <c r="C73" s="63"/>
    </row>
    <row r="74" spans="3:3" x14ac:dyDescent="0.25">
      <c r="C74" s="63"/>
    </row>
    <row r="75" spans="3:3" x14ac:dyDescent="0.25">
      <c r="C75" s="63"/>
    </row>
    <row r="76" spans="3:3" x14ac:dyDescent="0.25">
      <c r="C76" s="63"/>
    </row>
    <row r="77" spans="3:3" x14ac:dyDescent="0.25">
      <c r="C77" s="63"/>
    </row>
    <row r="78" spans="3:3" x14ac:dyDescent="0.25">
      <c r="C78" s="63"/>
    </row>
    <row r="79" spans="3:3" x14ac:dyDescent="0.25">
      <c r="C79" s="63"/>
    </row>
    <row r="80" spans="3:3" x14ac:dyDescent="0.25">
      <c r="C80" s="63"/>
    </row>
    <row r="81" spans="3:3" x14ac:dyDescent="0.25">
      <c r="C81" s="63"/>
    </row>
    <row r="82" spans="3:3" x14ac:dyDescent="0.25">
      <c r="C82" s="63"/>
    </row>
    <row r="83" spans="3:3" x14ac:dyDescent="0.25">
      <c r="C83" s="63"/>
    </row>
    <row r="84" spans="3:3" x14ac:dyDescent="0.25">
      <c r="C84" s="63"/>
    </row>
    <row r="85" spans="3:3" x14ac:dyDescent="0.25">
      <c r="C85" s="63"/>
    </row>
    <row r="86" spans="3:3" x14ac:dyDescent="0.25">
      <c r="C86" s="63"/>
    </row>
    <row r="87" spans="3:3" x14ac:dyDescent="0.25">
      <c r="C87" s="63"/>
    </row>
    <row r="88" spans="3:3" x14ac:dyDescent="0.25">
      <c r="C88" s="63"/>
    </row>
    <row r="89" spans="3:3" x14ac:dyDescent="0.25">
      <c r="C89" s="63"/>
    </row>
    <row r="90" spans="3:3" x14ac:dyDescent="0.25">
      <c r="C90" s="63"/>
    </row>
    <row r="91" spans="3:3" x14ac:dyDescent="0.25">
      <c r="C91" s="63"/>
    </row>
    <row r="92" spans="3:3" x14ac:dyDescent="0.25">
      <c r="C92" s="63"/>
    </row>
    <row r="93" spans="3:3" x14ac:dyDescent="0.25">
      <c r="C93" s="63"/>
    </row>
    <row r="94" spans="3:3" x14ac:dyDescent="0.25">
      <c r="C94" s="63"/>
    </row>
    <row r="95" spans="3:3" x14ac:dyDescent="0.25">
      <c r="C95" s="63"/>
    </row>
    <row r="96" spans="3:3" x14ac:dyDescent="0.25">
      <c r="C96" s="63"/>
    </row>
    <row r="97" spans="3:3" x14ac:dyDescent="0.25">
      <c r="C97" s="63"/>
    </row>
    <row r="98" spans="3:3" x14ac:dyDescent="0.25">
      <c r="C98" s="63"/>
    </row>
    <row r="99" spans="3:3" x14ac:dyDescent="0.25">
      <c r="C99" s="63"/>
    </row>
    <row r="100" spans="3:3" x14ac:dyDescent="0.25">
      <c r="C100" s="63"/>
    </row>
    <row r="101" spans="3:3" x14ac:dyDescent="0.25">
      <c r="C101" s="63"/>
    </row>
    <row r="102" spans="3:3" x14ac:dyDescent="0.25">
      <c r="C102" s="63"/>
    </row>
    <row r="103" spans="3:3" x14ac:dyDescent="0.25">
      <c r="C103" s="63"/>
    </row>
    <row r="104" spans="3:3" x14ac:dyDescent="0.25">
      <c r="C104" s="63"/>
    </row>
    <row r="105" spans="3:3" x14ac:dyDescent="0.25">
      <c r="C105" s="63"/>
    </row>
    <row r="106" spans="3:3" x14ac:dyDescent="0.25">
      <c r="C106" s="63"/>
    </row>
    <row r="107" spans="3:3" x14ac:dyDescent="0.25">
      <c r="C107" s="63"/>
    </row>
    <row r="108" spans="3:3" x14ac:dyDescent="0.25">
      <c r="C108" s="63"/>
    </row>
    <row r="109" spans="3:3" x14ac:dyDescent="0.25">
      <c r="C109" s="63"/>
    </row>
    <row r="110" spans="3:3" x14ac:dyDescent="0.25">
      <c r="C110" s="63"/>
    </row>
    <row r="111" spans="3:3" x14ac:dyDescent="0.25">
      <c r="C111" s="63"/>
    </row>
    <row r="112" spans="3:3" x14ac:dyDescent="0.25">
      <c r="C112" s="63"/>
    </row>
    <row r="113" spans="3:3" x14ac:dyDescent="0.25">
      <c r="C113" s="63"/>
    </row>
    <row r="114" spans="3:3" x14ac:dyDescent="0.25">
      <c r="C114" s="63"/>
    </row>
    <row r="115" spans="3:3" x14ac:dyDescent="0.25">
      <c r="C115" s="63"/>
    </row>
    <row r="116" spans="3:3" x14ac:dyDescent="0.25">
      <c r="C116" s="63"/>
    </row>
    <row r="117" spans="3:3" x14ac:dyDescent="0.25">
      <c r="C117" s="63"/>
    </row>
    <row r="118" spans="3:3" x14ac:dyDescent="0.25">
      <c r="C118" s="63"/>
    </row>
    <row r="119" spans="3:3" x14ac:dyDescent="0.25">
      <c r="C119" s="63"/>
    </row>
    <row r="120" spans="3:3" x14ac:dyDescent="0.25">
      <c r="C120" s="63"/>
    </row>
    <row r="121" spans="3:3" x14ac:dyDescent="0.25">
      <c r="C121" s="63"/>
    </row>
    <row r="122" spans="3:3" x14ac:dyDescent="0.25">
      <c r="C122" s="63"/>
    </row>
    <row r="123" spans="3:3" x14ac:dyDescent="0.25">
      <c r="C123" s="63"/>
    </row>
    <row r="124" spans="3:3" x14ac:dyDescent="0.25">
      <c r="C124" s="63"/>
    </row>
    <row r="125" spans="3:3" x14ac:dyDescent="0.25">
      <c r="C125" s="63"/>
    </row>
    <row r="126" spans="3:3" x14ac:dyDescent="0.25">
      <c r="C126" s="63"/>
    </row>
    <row r="127" spans="3:3" x14ac:dyDescent="0.25">
      <c r="C127" s="63"/>
    </row>
    <row r="128" spans="3:3" x14ac:dyDescent="0.25">
      <c r="C128" s="63"/>
    </row>
    <row r="129" spans="3:3" x14ac:dyDescent="0.25">
      <c r="C129" s="63"/>
    </row>
    <row r="130" spans="3:3" x14ac:dyDescent="0.25">
      <c r="C130" s="63"/>
    </row>
    <row r="131" spans="3:3" x14ac:dyDescent="0.25">
      <c r="C131" s="63"/>
    </row>
    <row r="132" spans="3:3" x14ac:dyDescent="0.25">
      <c r="C132" s="63"/>
    </row>
    <row r="133" spans="3:3" x14ac:dyDescent="0.25">
      <c r="C133" s="63"/>
    </row>
    <row r="134" spans="3:3" x14ac:dyDescent="0.25">
      <c r="C134" s="63"/>
    </row>
    <row r="135" spans="3:3" x14ac:dyDescent="0.25">
      <c r="C135" s="63"/>
    </row>
    <row r="136" spans="3:3" x14ac:dyDescent="0.25">
      <c r="C136" s="63"/>
    </row>
    <row r="137" spans="3:3" x14ac:dyDescent="0.25">
      <c r="C137" s="63"/>
    </row>
    <row r="138" spans="3:3" x14ac:dyDescent="0.25">
      <c r="C138" s="63"/>
    </row>
    <row r="139" spans="3:3" x14ac:dyDescent="0.25">
      <c r="C139" s="63"/>
    </row>
    <row r="140" spans="3:3" x14ac:dyDescent="0.25">
      <c r="C140" s="63"/>
    </row>
    <row r="141" spans="3:3" x14ac:dyDescent="0.25">
      <c r="C141" s="63"/>
    </row>
    <row r="142" spans="3:3" x14ac:dyDescent="0.25">
      <c r="C142" s="63"/>
    </row>
    <row r="143" spans="3:3" x14ac:dyDescent="0.25">
      <c r="C143" s="63"/>
    </row>
    <row r="144" spans="3:3" x14ac:dyDescent="0.25">
      <c r="C144" s="63"/>
    </row>
    <row r="145" spans="3:3" x14ac:dyDescent="0.25">
      <c r="C145" s="63"/>
    </row>
    <row r="146" spans="3:3" x14ac:dyDescent="0.25">
      <c r="C146" s="63"/>
    </row>
    <row r="147" spans="3:3" x14ac:dyDescent="0.25">
      <c r="C147" s="63"/>
    </row>
    <row r="148" spans="3:3" x14ac:dyDescent="0.25">
      <c r="C148" s="63"/>
    </row>
    <row r="149" spans="3:3" x14ac:dyDescent="0.25">
      <c r="C149" s="63"/>
    </row>
    <row r="150" spans="3:3" x14ac:dyDescent="0.25">
      <c r="C150" s="63"/>
    </row>
    <row r="151" spans="3:3" x14ac:dyDescent="0.25">
      <c r="C151" s="63"/>
    </row>
    <row r="152" spans="3:3" x14ac:dyDescent="0.25">
      <c r="C152" s="63"/>
    </row>
    <row r="153" spans="3:3" x14ac:dyDescent="0.25">
      <c r="C153" s="63"/>
    </row>
    <row r="154" spans="3:3" x14ac:dyDescent="0.25">
      <c r="C154" s="63"/>
    </row>
    <row r="155" spans="3:3" x14ac:dyDescent="0.25">
      <c r="C155" s="63"/>
    </row>
    <row r="156" spans="3:3" x14ac:dyDescent="0.25">
      <c r="C156" s="63"/>
    </row>
    <row r="157" spans="3:3" x14ac:dyDescent="0.25">
      <c r="C157" s="63"/>
    </row>
    <row r="158" spans="3:3" x14ac:dyDescent="0.25">
      <c r="C158" s="63"/>
    </row>
    <row r="159" spans="3:3" x14ac:dyDescent="0.25">
      <c r="C159" s="63"/>
    </row>
    <row r="160" spans="3:3" x14ac:dyDescent="0.25">
      <c r="C160" s="63"/>
    </row>
    <row r="161" spans="3:3" x14ac:dyDescent="0.25">
      <c r="C161" s="63"/>
    </row>
    <row r="162" spans="3:3" x14ac:dyDescent="0.25">
      <c r="C162" s="63"/>
    </row>
    <row r="163" spans="3:3" x14ac:dyDescent="0.25">
      <c r="C163" s="63"/>
    </row>
    <row r="164" spans="3:3" x14ac:dyDescent="0.25">
      <c r="C164" s="63"/>
    </row>
    <row r="165" spans="3:3" x14ac:dyDescent="0.25">
      <c r="C165" s="63"/>
    </row>
    <row r="166" spans="3:3" x14ac:dyDescent="0.25">
      <c r="C166" s="63"/>
    </row>
    <row r="167" spans="3:3" x14ac:dyDescent="0.25">
      <c r="C167" s="63"/>
    </row>
    <row r="168" spans="3:3" x14ac:dyDescent="0.25">
      <c r="C168" s="63"/>
    </row>
    <row r="169" spans="3:3" x14ac:dyDescent="0.25">
      <c r="C169" s="63"/>
    </row>
    <row r="170" spans="3:3" x14ac:dyDescent="0.25">
      <c r="C170" s="63"/>
    </row>
    <row r="171" spans="3:3" x14ac:dyDescent="0.25">
      <c r="C171" s="63"/>
    </row>
    <row r="172" spans="3:3" x14ac:dyDescent="0.25">
      <c r="C172" s="63"/>
    </row>
    <row r="173" spans="3:3" x14ac:dyDescent="0.25">
      <c r="C173" s="63"/>
    </row>
    <row r="174" spans="3:3" x14ac:dyDescent="0.25">
      <c r="C174" s="63"/>
    </row>
    <row r="175" spans="3:3" x14ac:dyDescent="0.25">
      <c r="C175" s="63"/>
    </row>
    <row r="176" spans="3:3" x14ac:dyDescent="0.25">
      <c r="C176" s="63"/>
    </row>
    <row r="177" spans="3:3" x14ac:dyDescent="0.25">
      <c r="C177" s="63"/>
    </row>
    <row r="178" spans="3:3" x14ac:dyDescent="0.25">
      <c r="C178" s="63"/>
    </row>
    <row r="179" spans="3:3" x14ac:dyDescent="0.25">
      <c r="C179" s="63"/>
    </row>
    <row r="180" spans="3:3" x14ac:dyDescent="0.25">
      <c r="C180" s="63"/>
    </row>
    <row r="181" spans="3:3" x14ac:dyDescent="0.25">
      <c r="C181" s="63"/>
    </row>
    <row r="182" spans="3:3" x14ac:dyDescent="0.25">
      <c r="C182" s="63"/>
    </row>
    <row r="183" spans="3:3" x14ac:dyDescent="0.25">
      <c r="C183" s="63"/>
    </row>
    <row r="184" spans="3:3" x14ac:dyDescent="0.25">
      <c r="C184" s="63"/>
    </row>
    <row r="185" spans="3:3" x14ac:dyDescent="0.25">
      <c r="C185" s="63"/>
    </row>
    <row r="186" spans="3:3" x14ac:dyDescent="0.25">
      <c r="C186" s="63"/>
    </row>
    <row r="187" spans="3:3" x14ac:dyDescent="0.25">
      <c r="C187" s="63"/>
    </row>
    <row r="188" spans="3:3" x14ac:dyDescent="0.25">
      <c r="C188" s="63"/>
    </row>
    <row r="189" spans="3:3" x14ac:dyDescent="0.25">
      <c r="C189" s="63"/>
    </row>
    <row r="190" spans="3:3" x14ac:dyDescent="0.25">
      <c r="C190" s="63"/>
    </row>
    <row r="191" spans="3:3" x14ac:dyDescent="0.25">
      <c r="C191" s="63"/>
    </row>
    <row r="192" spans="3:3" x14ac:dyDescent="0.25">
      <c r="C192" s="63"/>
    </row>
    <row r="193" spans="3:3" x14ac:dyDescent="0.25">
      <c r="C193" s="63"/>
    </row>
    <row r="194" spans="3:3" x14ac:dyDescent="0.25">
      <c r="C194" s="63"/>
    </row>
    <row r="195" spans="3:3" x14ac:dyDescent="0.25">
      <c r="C195" s="63"/>
    </row>
    <row r="196" spans="3:3" x14ac:dyDescent="0.25">
      <c r="C196" s="63"/>
    </row>
    <row r="197" spans="3:3" x14ac:dyDescent="0.25">
      <c r="C197" s="63"/>
    </row>
    <row r="198" spans="3:3" x14ac:dyDescent="0.25">
      <c r="C198" s="63"/>
    </row>
    <row r="199" spans="3:3" x14ac:dyDescent="0.25">
      <c r="C199" s="63"/>
    </row>
    <row r="200" spans="3:3" x14ac:dyDescent="0.25">
      <c r="C200" s="63"/>
    </row>
    <row r="201" spans="3:3" x14ac:dyDescent="0.25">
      <c r="C201" s="63"/>
    </row>
    <row r="202" spans="3:3" x14ac:dyDescent="0.25">
      <c r="C202" s="63"/>
    </row>
    <row r="203" spans="3:3" x14ac:dyDescent="0.25">
      <c r="C203" s="63"/>
    </row>
    <row r="204" spans="3:3" x14ac:dyDescent="0.25">
      <c r="C204" s="63"/>
    </row>
    <row r="205" spans="3:3" x14ac:dyDescent="0.25">
      <c r="C205" s="63"/>
    </row>
    <row r="206" spans="3:3" x14ac:dyDescent="0.25">
      <c r="C206" s="63"/>
    </row>
    <row r="207" spans="3:3" x14ac:dyDescent="0.25">
      <c r="C207" s="63"/>
    </row>
    <row r="208" spans="3:3" x14ac:dyDescent="0.25">
      <c r="C208" s="63"/>
    </row>
    <row r="209" spans="3:3" x14ac:dyDescent="0.25">
      <c r="C209" s="63"/>
    </row>
    <row r="210" spans="3:3" x14ac:dyDescent="0.25">
      <c r="C210" s="63"/>
    </row>
    <row r="211" spans="3:3" x14ac:dyDescent="0.25">
      <c r="C211" s="63"/>
    </row>
    <row r="212" spans="3:3" x14ac:dyDescent="0.25">
      <c r="C212" s="63"/>
    </row>
    <row r="213" spans="3:3" x14ac:dyDescent="0.25">
      <c r="C213" s="63"/>
    </row>
    <row r="214" spans="3:3" x14ac:dyDescent="0.25">
      <c r="C214" s="63"/>
    </row>
    <row r="215" spans="3:3" x14ac:dyDescent="0.25">
      <c r="C215" s="63"/>
    </row>
    <row r="216" spans="3:3" x14ac:dyDescent="0.25">
      <c r="C216" s="63"/>
    </row>
    <row r="217" spans="3:3" x14ac:dyDescent="0.25">
      <c r="C217" s="63"/>
    </row>
    <row r="218" spans="3:3" x14ac:dyDescent="0.25">
      <c r="C218" s="63"/>
    </row>
    <row r="219" spans="3:3" x14ac:dyDescent="0.25">
      <c r="C219" s="63"/>
    </row>
    <row r="220" spans="3:3" x14ac:dyDescent="0.25">
      <c r="C220" s="63"/>
    </row>
    <row r="221" spans="3:3" x14ac:dyDescent="0.25">
      <c r="C221" s="63"/>
    </row>
    <row r="222" spans="3:3" x14ac:dyDescent="0.25">
      <c r="C222" s="63"/>
    </row>
    <row r="223" spans="3:3" x14ac:dyDescent="0.25">
      <c r="C223" s="63"/>
    </row>
    <row r="224" spans="3:3" x14ac:dyDescent="0.25">
      <c r="C224" s="63"/>
    </row>
    <row r="225" spans="3:3" x14ac:dyDescent="0.25">
      <c r="C225" s="63"/>
    </row>
    <row r="226" spans="3:3" x14ac:dyDescent="0.25">
      <c r="C226" s="63"/>
    </row>
    <row r="227" spans="3:3" x14ac:dyDescent="0.25">
      <c r="C227" s="63"/>
    </row>
    <row r="228" spans="3:3" x14ac:dyDescent="0.25">
      <c r="C228" s="63"/>
    </row>
    <row r="229" spans="3:3" x14ac:dyDescent="0.25">
      <c r="C229" s="63"/>
    </row>
    <row r="230" spans="3:3" x14ac:dyDescent="0.25">
      <c r="C230" s="63"/>
    </row>
    <row r="231" spans="3:3" x14ac:dyDescent="0.25">
      <c r="C231" s="63"/>
    </row>
    <row r="232" spans="3:3" x14ac:dyDescent="0.25">
      <c r="C232" s="63"/>
    </row>
    <row r="233" spans="3:3" x14ac:dyDescent="0.25">
      <c r="C233" s="63"/>
    </row>
    <row r="234" spans="3:3" x14ac:dyDescent="0.25">
      <c r="C234" s="63"/>
    </row>
    <row r="235" spans="3:3" x14ac:dyDescent="0.25">
      <c r="C235" s="63"/>
    </row>
    <row r="236" spans="3:3" x14ac:dyDescent="0.25">
      <c r="C236" s="63"/>
    </row>
    <row r="237" spans="3:3" x14ac:dyDescent="0.25">
      <c r="C237" s="63"/>
    </row>
    <row r="238" spans="3:3" x14ac:dyDescent="0.25">
      <c r="C238" s="63"/>
    </row>
    <row r="239" spans="3:3" x14ac:dyDescent="0.25">
      <c r="C239" s="63"/>
    </row>
    <row r="240" spans="3:3" x14ac:dyDescent="0.25">
      <c r="C240" s="63"/>
    </row>
    <row r="241" spans="3:3" x14ac:dyDescent="0.25">
      <c r="C241" s="63"/>
    </row>
    <row r="242" spans="3:3" x14ac:dyDescent="0.25">
      <c r="C242" s="63"/>
    </row>
    <row r="243" spans="3:3" x14ac:dyDescent="0.25">
      <c r="C243" s="63"/>
    </row>
    <row r="244" spans="3:3" x14ac:dyDescent="0.25">
      <c r="C244" s="63"/>
    </row>
    <row r="245" spans="3:3" x14ac:dyDescent="0.25">
      <c r="C245" s="63"/>
    </row>
    <row r="246" spans="3:3" x14ac:dyDescent="0.25">
      <c r="C246" s="63"/>
    </row>
    <row r="247" spans="3:3" x14ac:dyDescent="0.25">
      <c r="C247" s="63"/>
    </row>
    <row r="248" spans="3:3" x14ac:dyDescent="0.25">
      <c r="C248" s="63"/>
    </row>
    <row r="249" spans="3:3" x14ac:dyDescent="0.25">
      <c r="C249" s="63"/>
    </row>
    <row r="250" spans="3:3" x14ac:dyDescent="0.25">
      <c r="C250" s="63"/>
    </row>
    <row r="251" spans="3:3" x14ac:dyDescent="0.25">
      <c r="C251" s="63"/>
    </row>
    <row r="252" spans="3:3" x14ac:dyDescent="0.25">
      <c r="C252" s="63"/>
    </row>
    <row r="253" spans="3:3" x14ac:dyDescent="0.25">
      <c r="C253" s="63"/>
    </row>
    <row r="254" spans="3:3" x14ac:dyDescent="0.25">
      <c r="C254" s="63"/>
    </row>
    <row r="255" spans="3:3" x14ac:dyDescent="0.25">
      <c r="C255" s="63"/>
    </row>
    <row r="256" spans="3:3" x14ac:dyDescent="0.25">
      <c r="C256" s="63"/>
    </row>
    <row r="257" spans="3:3" x14ac:dyDescent="0.25">
      <c r="C257" s="63"/>
    </row>
    <row r="258" spans="3:3" x14ac:dyDescent="0.25">
      <c r="C258" s="63"/>
    </row>
    <row r="259" spans="3:3" x14ac:dyDescent="0.25">
      <c r="C259" s="63"/>
    </row>
    <row r="260" spans="3:3" x14ac:dyDescent="0.25">
      <c r="C260" s="63"/>
    </row>
    <row r="261" spans="3:3" x14ac:dyDescent="0.25">
      <c r="C261" s="63"/>
    </row>
    <row r="262" spans="3:3" x14ac:dyDescent="0.25">
      <c r="C262" s="63"/>
    </row>
    <row r="263" spans="3:3" x14ac:dyDescent="0.25">
      <c r="C263" s="63"/>
    </row>
    <row r="264" spans="3:3" x14ac:dyDescent="0.25">
      <c r="C264" s="63"/>
    </row>
    <row r="265" spans="3:3" x14ac:dyDescent="0.25">
      <c r="C265" s="63"/>
    </row>
    <row r="266" spans="3:3" x14ac:dyDescent="0.25">
      <c r="C266" s="63"/>
    </row>
    <row r="267" spans="3:3" x14ac:dyDescent="0.25">
      <c r="C267" s="63"/>
    </row>
    <row r="268" spans="3:3" x14ac:dyDescent="0.25">
      <c r="C268" s="63"/>
    </row>
    <row r="269" spans="3:3" x14ac:dyDescent="0.25">
      <c r="C269" s="63"/>
    </row>
    <row r="270" spans="3:3" x14ac:dyDescent="0.25">
      <c r="C270" s="63"/>
    </row>
    <row r="271" spans="3:3" x14ac:dyDescent="0.25">
      <c r="C271" s="63"/>
    </row>
    <row r="272" spans="3:3" x14ac:dyDescent="0.25">
      <c r="C272" s="63"/>
    </row>
    <row r="273" spans="3:3" x14ac:dyDescent="0.25">
      <c r="C273" s="63"/>
    </row>
    <row r="274" spans="3:3" x14ac:dyDescent="0.25">
      <c r="C274" s="63"/>
    </row>
    <row r="275" spans="3:3" x14ac:dyDescent="0.25">
      <c r="C275" s="63"/>
    </row>
    <row r="276" spans="3:3" x14ac:dyDescent="0.25">
      <c r="C276" s="63"/>
    </row>
    <row r="277" spans="3:3" x14ac:dyDescent="0.25">
      <c r="C277" s="63"/>
    </row>
    <row r="278" spans="3:3" x14ac:dyDescent="0.25">
      <c r="C278" s="63"/>
    </row>
    <row r="279" spans="3:3" x14ac:dyDescent="0.25">
      <c r="C279" s="63"/>
    </row>
    <row r="280" spans="3:3" x14ac:dyDescent="0.25">
      <c r="C280" s="63"/>
    </row>
    <row r="281" spans="3:3" x14ac:dyDescent="0.25">
      <c r="C281" s="63"/>
    </row>
    <row r="282" spans="3:3" x14ac:dyDescent="0.25">
      <c r="C282" s="63"/>
    </row>
    <row r="283" spans="3:3" x14ac:dyDescent="0.25">
      <c r="C283" s="63"/>
    </row>
    <row r="284" spans="3:3" x14ac:dyDescent="0.25">
      <c r="C284" s="63"/>
    </row>
    <row r="285" spans="3:3" x14ac:dyDescent="0.25">
      <c r="C285" s="63"/>
    </row>
    <row r="286" spans="3:3" x14ac:dyDescent="0.25">
      <c r="C286" s="63"/>
    </row>
    <row r="287" spans="3:3" x14ac:dyDescent="0.25">
      <c r="C287" s="63"/>
    </row>
    <row r="288" spans="3:3" x14ac:dyDescent="0.25">
      <c r="C288" s="63"/>
    </row>
    <row r="289" spans="3:3" x14ac:dyDescent="0.25">
      <c r="C289" s="63"/>
    </row>
    <row r="290" spans="3:3" x14ac:dyDescent="0.25">
      <c r="C290" s="63"/>
    </row>
    <row r="291" spans="3:3" x14ac:dyDescent="0.25">
      <c r="C291" s="63"/>
    </row>
    <row r="292" spans="3:3" x14ac:dyDescent="0.25">
      <c r="C292" s="63"/>
    </row>
    <row r="293" spans="3:3" x14ac:dyDescent="0.25">
      <c r="C293" s="63"/>
    </row>
    <row r="294" spans="3:3" x14ac:dyDescent="0.25">
      <c r="C294" s="63"/>
    </row>
    <row r="295" spans="3:3" x14ac:dyDescent="0.25">
      <c r="C295" s="63"/>
    </row>
    <row r="296" spans="3:3" x14ac:dyDescent="0.25">
      <c r="C296" s="63"/>
    </row>
    <row r="297" spans="3:3" x14ac:dyDescent="0.25">
      <c r="C297" s="63"/>
    </row>
    <row r="298" spans="3:3" x14ac:dyDescent="0.25">
      <c r="C298" s="63"/>
    </row>
    <row r="299" spans="3:3" x14ac:dyDescent="0.25">
      <c r="C299" s="63"/>
    </row>
    <row r="300" spans="3:3" x14ac:dyDescent="0.25">
      <c r="C300" s="63"/>
    </row>
    <row r="301" spans="3:3" x14ac:dyDescent="0.25">
      <c r="C301" s="63"/>
    </row>
    <row r="302" spans="3:3" x14ac:dyDescent="0.25">
      <c r="C302" s="63"/>
    </row>
    <row r="303" spans="3:3" x14ac:dyDescent="0.25">
      <c r="C303" s="63"/>
    </row>
    <row r="304" spans="3:3" x14ac:dyDescent="0.25">
      <c r="C304" s="63"/>
    </row>
    <row r="305" spans="3:3" x14ac:dyDescent="0.25">
      <c r="C305" s="63"/>
    </row>
    <row r="306" spans="3:3" x14ac:dyDescent="0.25">
      <c r="C306" s="63"/>
    </row>
    <row r="307" spans="3:3" x14ac:dyDescent="0.25">
      <c r="C307" s="63"/>
    </row>
    <row r="308" spans="3:3" x14ac:dyDescent="0.25">
      <c r="C308" s="63"/>
    </row>
    <row r="309" spans="3:3" x14ac:dyDescent="0.25">
      <c r="C309" s="63"/>
    </row>
    <row r="310" spans="3:3" x14ac:dyDescent="0.25">
      <c r="C310" s="63"/>
    </row>
    <row r="311" spans="3:3" x14ac:dyDescent="0.25">
      <c r="C311" s="63"/>
    </row>
    <row r="312" spans="3:3" x14ac:dyDescent="0.25">
      <c r="C312" s="63"/>
    </row>
    <row r="313" spans="3:3" x14ac:dyDescent="0.25">
      <c r="C313" s="63"/>
    </row>
    <row r="314" spans="3:3" x14ac:dyDescent="0.25">
      <c r="C314" s="63"/>
    </row>
    <row r="315" spans="3:3" x14ac:dyDescent="0.25">
      <c r="C315" s="63"/>
    </row>
    <row r="316" spans="3:3" x14ac:dyDescent="0.25">
      <c r="C316" s="63"/>
    </row>
    <row r="317" spans="3:3" x14ac:dyDescent="0.25">
      <c r="C317" s="63"/>
    </row>
    <row r="318" spans="3:3" x14ac:dyDescent="0.25">
      <c r="C318" s="63"/>
    </row>
    <row r="319" spans="3:3" x14ac:dyDescent="0.25">
      <c r="C319" s="63"/>
    </row>
    <row r="320" spans="3:3" x14ac:dyDescent="0.25">
      <c r="C320" s="63"/>
    </row>
    <row r="321" spans="3:3" x14ac:dyDescent="0.25">
      <c r="C321" s="63"/>
    </row>
    <row r="322" spans="3:3" x14ac:dyDescent="0.25">
      <c r="C322" s="63"/>
    </row>
    <row r="323" spans="3:3" x14ac:dyDescent="0.25">
      <c r="C323" s="63"/>
    </row>
    <row r="324" spans="3:3" x14ac:dyDescent="0.25">
      <c r="C324" s="63"/>
    </row>
    <row r="325" spans="3:3" x14ac:dyDescent="0.25">
      <c r="C325" s="63"/>
    </row>
    <row r="326" spans="3:3" x14ac:dyDescent="0.25">
      <c r="C326" s="63"/>
    </row>
    <row r="327" spans="3:3" x14ac:dyDescent="0.25">
      <c r="C327" s="63"/>
    </row>
  </sheetData>
  <sortState xmlns:xlrd2="http://schemas.microsoft.com/office/spreadsheetml/2017/richdata2" ref="I2:I189">
    <sortCondition ref="I2"/>
  </sortState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0A7F6-072C-4AC9-AB13-43458426CD23}">
  <sheetPr codeName="Feuil21"/>
  <dimension ref="A1:H13"/>
  <sheetViews>
    <sheetView workbookViewId="0">
      <selection activeCell="C1" sqref="C1"/>
    </sheetView>
  </sheetViews>
  <sheetFormatPr baseColWidth="10" defaultRowHeight="15.75" x14ac:dyDescent="0.25"/>
  <cols>
    <col min="4" max="4" width="17.25" customWidth="1"/>
  </cols>
  <sheetData>
    <row r="1" spans="1:8" x14ac:dyDescent="0.25">
      <c r="A1" s="6" t="s">
        <v>88</v>
      </c>
      <c r="C1" s="6" t="s">
        <v>90</v>
      </c>
      <c r="D1" s="6" t="s">
        <v>89</v>
      </c>
      <c r="E1" s="6" t="s">
        <v>88</v>
      </c>
      <c r="G1" s="6"/>
      <c r="H1" s="38"/>
    </row>
    <row r="2" spans="1:8" x14ac:dyDescent="0.25">
      <c r="A2" s="15" t="s">
        <v>91</v>
      </c>
      <c r="C2" t="s">
        <v>83</v>
      </c>
      <c r="D2" t="s">
        <v>115</v>
      </c>
      <c r="E2" t="s">
        <v>61</v>
      </c>
      <c r="G2" s="6"/>
    </row>
    <row r="3" spans="1:8" x14ac:dyDescent="0.25">
      <c r="A3" s="6" t="s">
        <v>50</v>
      </c>
      <c r="C3" t="s">
        <v>19</v>
      </c>
      <c r="D3" t="s">
        <v>586</v>
      </c>
      <c r="E3" t="s">
        <v>61</v>
      </c>
    </row>
    <row r="4" spans="1:8" x14ac:dyDescent="0.25">
      <c r="A4" t="s">
        <v>115</v>
      </c>
      <c r="C4" t="s">
        <v>92</v>
      </c>
      <c r="D4" t="s">
        <v>92</v>
      </c>
      <c r="E4" t="s">
        <v>61</v>
      </c>
    </row>
    <row r="5" spans="1:8" x14ac:dyDescent="0.25">
      <c r="C5" t="s">
        <v>93</v>
      </c>
      <c r="D5" t="s">
        <v>93</v>
      </c>
      <c r="E5" t="s">
        <v>61</v>
      </c>
    </row>
    <row r="6" spans="1:8" x14ac:dyDescent="0.25">
      <c r="C6" t="s">
        <v>82</v>
      </c>
      <c r="D6" t="s">
        <v>114</v>
      </c>
      <c r="E6" t="s">
        <v>81</v>
      </c>
    </row>
    <row r="10" spans="1:8" x14ac:dyDescent="0.25">
      <c r="H10" s="20"/>
    </row>
    <row r="12" spans="1:8" x14ac:dyDescent="0.25">
      <c r="H12" s="20"/>
    </row>
    <row r="13" spans="1:8" x14ac:dyDescent="0.25">
      <c r="H13" s="22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E67D1-D918-40E6-B448-589F35805D53}">
  <sheetPr codeName="Feuil6"/>
  <dimension ref="A1:AB151"/>
  <sheetViews>
    <sheetView workbookViewId="0">
      <selection activeCell="C1" sqref="C1"/>
    </sheetView>
  </sheetViews>
  <sheetFormatPr baseColWidth="10" defaultColWidth="9" defaultRowHeight="15.75" x14ac:dyDescent="0.25"/>
  <cols>
    <col min="4" max="4" width="13.625" customWidth="1"/>
    <col min="7" max="7" width="12.375" customWidth="1"/>
    <col min="8" max="8" width="15.5" customWidth="1"/>
    <col min="9" max="9" width="14.75" customWidth="1"/>
    <col min="10" max="10" width="21" customWidth="1"/>
  </cols>
  <sheetData>
    <row r="1" spans="1:28" s="6" customFormat="1" x14ac:dyDescent="0.25">
      <c r="A1" s="6" t="s">
        <v>88</v>
      </c>
      <c r="C1" s="57" t="s">
        <v>86</v>
      </c>
      <c r="D1" s="57" t="s">
        <v>186</v>
      </c>
      <c r="E1" s="57" t="s">
        <v>187</v>
      </c>
      <c r="F1" s="57" t="s">
        <v>83</v>
      </c>
      <c r="G1" s="57" t="s">
        <v>184</v>
      </c>
      <c r="H1" s="57" t="s">
        <v>185</v>
      </c>
      <c r="I1" s="57" t="s">
        <v>188</v>
      </c>
      <c r="K1" s="57"/>
      <c r="L1" s="57" t="s">
        <v>86</v>
      </c>
      <c r="M1" s="57" t="s">
        <v>186</v>
      </c>
      <c r="N1" s="57" t="s">
        <v>187</v>
      </c>
      <c r="O1" s="57" t="s">
        <v>83</v>
      </c>
      <c r="P1" s="57" t="s">
        <v>184</v>
      </c>
      <c r="Q1" s="57" t="s">
        <v>185</v>
      </c>
      <c r="R1" s="57" t="s">
        <v>188</v>
      </c>
      <c r="U1" s="6" t="s">
        <v>86</v>
      </c>
      <c r="V1" s="6" t="s">
        <v>186</v>
      </c>
      <c r="W1" s="6" t="s">
        <v>187</v>
      </c>
      <c r="X1" s="6" t="s">
        <v>83</v>
      </c>
      <c r="Y1" s="6" t="s">
        <v>184</v>
      </c>
      <c r="Z1" s="6" t="s">
        <v>185</v>
      </c>
      <c r="AA1" s="6" t="s">
        <v>188</v>
      </c>
      <c r="AB1" s="57" t="s">
        <v>183</v>
      </c>
    </row>
    <row r="2" spans="1:28" s="50" customFormat="1" x14ac:dyDescent="0.25">
      <c r="A2" s="15" t="s">
        <v>91</v>
      </c>
      <c r="C2" s="58" t="s">
        <v>151</v>
      </c>
      <c r="D2" s="58" t="s">
        <v>153</v>
      </c>
      <c r="E2" s="58" t="s">
        <v>164</v>
      </c>
      <c r="F2" s="58" t="s">
        <v>156</v>
      </c>
      <c r="G2" s="58" t="s">
        <v>435</v>
      </c>
      <c r="H2" s="58" t="s">
        <v>436</v>
      </c>
      <c r="I2" s="58" t="s">
        <v>427</v>
      </c>
      <c r="K2" s="59"/>
      <c r="L2" s="58" t="s">
        <v>151</v>
      </c>
      <c r="M2" s="58" t="s">
        <v>153</v>
      </c>
      <c r="N2" s="58" t="s">
        <v>164</v>
      </c>
      <c r="O2" s="58" t="s">
        <v>157</v>
      </c>
      <c r="P2" s="58" t="str">
        <f>_xlfn.CONCAT(L2,M2)</f>
        <v>D01S01</v>
      </c>
      <c r="Q2" s="58" t="str">
        <f>_xlfn.CONCAT(O2,N2)</f>
        <v>P02V01</v>
      </c>
      <c r="R2" s="58" t="str">
        <f>_xlfn.CONCAT(P2,Q2)</f>
        <v>D01S01P02V01</v>
      </c>
      <c r="U2" s="51" t="s">
        <v>151</v>
      </c>
      <c r="V2" s="51" t="s">
        <v>153</v>
      </c>
      <c r="W2" s="51" t="s">
        <v>164</v>
      </c>
      <c r="X2" s="51" t="s">
        <v>156</v>
      </c>
      <c r="Y2" s="51" t="str">
        <f>_xlfn.CONCAT(U2,V2)</f>
        <v>D01S01</v>
      </c>
      <c r="Z2" s="51" t="str">
        <f>_xlfn.CONCAT(X2,W2)</f>
        <v>P01V01</v>
      </c>
      <c r="AA2" s="51" t="str">
        <f>_xlfn.CONCAT(Y2,Z2)</f>
        <v>D01S01P01V01</v>
      </c>
      <c r="AB2" s="59" t="s">
        <v>167</v>
      </c>
    </row>
    <row r="3" spans="1:28" x14ac:dyDescent="0.25">
      <c r="A3" s="6" t="s">
        <v>50</v>
      </c>
      <c r="C3" s="58" t="s">
        <v>151</v>
      </c>
      <c r="D3" s="58" t="s">
        <v>153</v>
      </c>
      <c r="E3" s="58" t="s">
        <v>164</v>
      </c>
      <c r="F3" s="58" t="s">
        <v>157</v>
      </c>
      <c r="G3" s="58" t="s">
        <v>435</v>
      </c>
      <c r="H3" s="58" t="s">
        <v>467</v>
      </c>
      <c r="I3" s="58" t="s">
        <v>468</v>
      </c>
      <c r="J3" s="50"/>
      <c r="K3" s="60"/>
      <c r="L3" s="58" t="str">
        <f>+L2</f>
        <v>D01</v>
      </c>
      <c r="M3" s="58" t="str">
        <f t="shared" ref="M3:M13" si="0">+M2</f>
        <v>S01</v>
      </c>
      <c r="N3" s="58" t="s">
        <v>164</v>
      </c>
      <c r="O3" s="58" t="s">
        <v>158</v>
      </c>
      <c r="P3" s="58" t="str">
        <f t="shared" ref="P3" si="1">_xlfn.CONCAT(L3,M3)</f>
        <v>D01S01</v>
      </c>
      <c r="Q3" s="58" t="str">
        <f t="shared" ref="Q3" si="2">_xlfn.CONCAT(O3,N3)</f>
        <v>P03V01</v>
      </c>
      <c r="R3" s="58" t="str">
        <f t="shared" ref="R3" si="3">_xlfn.CONCAT(P3,Q3)</f>
        <v>D01S01P03V01</v>
      </c>
      <c r="U3" s="52" t="s">
        <v>152</v>
      </c>
      <c r="V3" s="51" t="s">
        <v>153</v>
      </c>
      <c r="W3" s="51" t="s">
        <v>164</v>
      </c>
      <c r="X3" s="51" t="s">
        <v>156</v>
      </c>
      <c r="Y3" s="51" t="str">
        <f t="shared" ref="Y3:Y38" si="4">_xlfn.CONCAT(U3,V3)</f>
        <v>D02S01</v>
      </c>
      <c r="Z3" s="51" t="str">
        <f t="shared" ref="Z3:Z34" si="5">_xlfn.CONCAT(X3,W3)</f>
        <v>P01V01</v>
      </c>
      <c r="AA3" s="51" t="str">
        <f t="shared" ref="AA3:AA38" si="6">_xlfn.CONCAT(Y3,Z3)</f>
        <v>D02S01P01V01</v>
      </c>
      <c r="AB3" s="60" t="s">
        <v>168</v>
      </c>
    </row>
    <row r="4" spans="1:28" x14ac:dyDescent="0.25">
      <c r="A4" t="s">
        <v>466</v>
      </c>
      <c r="C4" s="58" t="s">
        <v>151</v>
      </c>
      <c r="D4" s="58" t="s">
        <v>153</v>
      </c>
      <c r="E4" s="58" t="s">
        <v>164</v>
      </c>
      <c r="F4" s="58" t="s">
        <v>158</v>
      </c>
      <c r="G4" s="58" t="s">
        <v>435</v>
      </c>
      <c r="H4" s="58" t="s">
        <v>469</v>
      </c>
      <c r="I4" s="58" t="s">
        <v>470</v>
      </c>
      <c r="J4" s="50"/>
      <c r="K4" s="60"/>
      <c r="L4" s="58" t="str">
        <f t="shared" ref="L4:M19" si="7">+L3</f>
        <v>D01</v>
      </c>
      <c r="M4" s="58" t="str">
        <f t="shared" si="0"/>
        <v>S01</v>
      </c>
      <c r="N4" s="58" t="s">
        <v>165</v>
      </c>
      <c r="O4" s="58" t="s">
        <v>157</v>
      </c>
      <c r="P4" s="58" t="str">
        <f>_xlfn.CONCAT(L4,M4)</f>
        <v>D01S01</v>
      </c>
      <c r="Q4" s="58" t="str">
        <f>_xlfn.CONCAT(O4,N4)</f>
        <v>P02V02</v>
      </c>
      <c r="R4" s="58" t="str">
        <f>_xlfn.CONCAT(P4,Q4)</f>
        <v>D01S01P02V02</v>
      </c>
      <c r="U4" s="51" t="s">
        <v>151</v>
      </c>
      <c r="V4" s="52" t="s">
        <v>154</v>
      </c>
      <c r="W4" s="51" t="s">
        <v>164</v>
      </c>
      <c r="X4" s="51" t="s">
        <v>156</v>
      </c>
      <c r="Y4" s="51" t="str">
        <f t="shared" si="4"/>
        <v>D01S02</v>
      </c>
      <c r="Z4" s="51" t="str">
        <f t="shared" si="5"/>
        <v>P01V01</v>
      </c>
      <c r="AA4" s="51" t="str">
        <f t="shared" si="6"/>
        <v>D01S02P01V01</v>
      </c>
      <c r="AB4" s="60" t="s">
        <v>169</v>
      </c>
    </row>
    <row r="5" spans="1:28" x14ac:dyDescent="0.25">
      <c r="C5" s="58" t="s">
        <v>151</v>
      </c>
      <c r="D5" s="58" t="s">
        <v>153</v>
      </c>
      <c r="E5" s="58" t="s">
        <v>165</v>
      </c>
      <c r="F5" s="58" t="s">
        <v>156</v>
      </c>
      <c r="G5" s="58" t="s">
        <v>435</v>
      </c>
      <c r="H5" s="58" t="s">
        <v>437</v>
      </c>
      <c r="I5" s="58" t="s">
        <v>438</v>
      </c>
      <c r="J5" s="50"/>
      <c r="K5" s="60"/>
      <c r="L5" s="58" t="str">
        <f t="shared" si="7"/>
        <v>D01</v>
      </c>
      <c r="M5" s="58" t="str">
        <f t="shared" si="0"/>
        <v>S01</v>
      </c>
      <c r="N5" s="58" t="s">
        <v>165</v>
      </c>
      <c r="O5" s="58" t="s">
        <v>158</v>
      </c>
      <c r="P5" s="58" t="str">
        <f t="shared" ref="P5" si="8">_xlfn.CONCAT(L5,M5)</f>
        <v>D01S01</v>
      </c>
      <c r="Q5" s="58" t="str">
        <f t="shared" ref="Q5" si="9">_xlfn.CONCAT(O5,N5)</f>
        <v>P03V02</v>
      </c>
      <c r="R5" s="58" t="str">
        <f t="shared" ref="R5" si="10">_xlfn.CONCAT(P5,Q5)</f>
        <v>D01S01P03V02</v>
      </c>
      <c r="U5" s="51" t="s">
        <v>151</v>
      </c>
      <c r="V5" s="52" t="s">
        <v>155</v>
      </c>
      <c r="W5" s="51" t="s">
        <v>164</v>
      </c>
      <c r="X5" s="51" t="s">
        <v>156</v>
      </c>
      <c r="Y5" s="51" t="str">
        <f t="shared" si="4"/>
        <v>D01S03</v>
      </c>
      <c r="Z5" s="51" t="str">
        <f t="shared" si="5"/>
        <v>P01V01</v>
      </c>
      <c r="AA5" s="51" t="str">
        <f t="shared" si="6"/>
        <v>D01S03P01V01</v>
      </c>
      <c r="AB5" s="60" t="s">
        <v>170</v>
      </c>
    </row>
    <row r="6" spans="1:28" x14ac:dyDescent="0.25">
      <c r="C6" s="58" t="s">
        <v>151</v>
      </c>
      <c r="D6" s="58" t="s">
        <v>153</v>
      </c>
      <c r="E6" s="58" t="s">
        <v>165</v>
      </c>
      <c r="F6" s="58" t="s">
        <v>157</v>
      </c>
      <c r="G6" s="58" t="s">
        <v>435</v>
      </c>
      <c r="H6" s="58" t="s">
        <v>471</v>
      </c>
      <c r="I6" s="58" t="s">
        <v>430</v>
      </c>
      <c r="J6" s="50"/>
      <c r="K6" s="60"/>
      <c r="L6" s="58" t="str">
        <f t="shared" si="7"/>
        <v>D01</v>
      </c>
      <c r="M6" s="58" t="str">
        <f t="shared" si="0"/>
        <v>S01</v>
      </c>
      <c r="N6" s="58" t="s">
        <v>166</v>
      </c>
      <c r="O6" s="58" t="s">
        <v>157</v>
      </c>
      <c r="P6" s="58" t="str">
        <f>_xlfn.CONCAT(L6,M6)</f>
        <v>D01S01</v>
      </c>
      <c r="Q6" s="58" t="str">
        <f>_xlfn.CONCAT(O6,N6)</f>
        <v>P02V03</v>
      </c>
      <c r="R6" s="58" t="str">
        <f>_xlfn.CONCAT(P6,Q6)</f>
        <v>D01S01P02V03</v>
      </c>
      <c r="U6" s="51" t="s">
        <v>151</v>
      </c>
      <c r="V6" s="51" t="s">
        <v>153</v>
      </c>
      <c r="W6" s="52" t="s">
        <v>165</v>
      </c>
      <c r="X6" s="51" t="s">
        <v>156</v>
      </c>
      <c r="Y6" s="51" t="str">
        <f t="shared" si="4"/>
        <v>D01S01</v>
      </c>
      <c r="Z6" s="51" t="str">
        <f t="shared" si="5"/>
        <v>P01V02</v>
      </c>
      <c r="AA6" s="51" t="str">
        <f t="shared" si="6"/>
        <v>D01S01P01V02</v>
      </c>
      <c r="AB6" s="60" t="s">
        <v>171</v>
      </c>
    </row>
    <row r="7" spans="1:28" x14ac:dyDescent="0.25">
      <c r="C7" s="58" t="s">
        <v>151</v>
      </c>
      <c r="D7" s="58" t="s">
        <v>153</v>
      </c>
      <c r="E7" s="58" t="s">
        <v>165</v>
      </c>
      <c r="F7" s="58" t="s">
        <v>158</v>
      </c>
      <c r="G7" s="58" t="s">
        <v>435</v>
      </c>
      <c r="H7" s="58" t="s">
        <v>472</v>
      </c>
      <c r="I7" s="58" t="s">
        <v>473</v>
      </c>
      <c r="J7" s="50"/>
      <c r="K7" s="60"/>
      <c r="L7" s="58" t="str">
        <f t="shared" si="7"/>
        <v>D01</v>
      </c>
      <c r="M7" s="58" t="str">
        <f t="shared" si="0"/>
        <v>S01</v>
      </c>
      <c r="N7" s="58" t="s">
        <v>166</v>
      </c>
      <c r="O7" s="58" t="s">
        <v>158</v>
      </c>
      <c r="P7" s="58" t="str">
        <f t="shared" ref="P7" si="11">_xlfn.CONCAT(L7,M7)</f>
        <v>D01S01</v>
      </c>
      <c r="Q7" s="58" t="str">
        <f t="shared" ref="Q7" si="12">_xlfn.CONCAT(O7,N7)</f>
        <v>P03V03</v>
      </c>
      <c r="R7" s="58" t="str">
        <f t="shared" ref="R7" si="13">_xlfn.CONCAT(P7,Q7)</f>
        <v>D01S01P03V03</v>
      </c>
      <c r="U7" s="51" t="s">
        <v>151</v>
      </c>
      <c r="V7" s="51" t="s">
        <v>153</v>
      </c>
      <c r="W7" s="52" t="s">
        <v>166</v>
      </c>
      <c r="X7" s="51" t="s">
        <v>156</v>
      </c>
      <c r="Y7" s="51" t="str">
        <f t="shared" si="4"/>
        <v>D01S01</v>
      </c>
      <c r="Z7" s="51" t="str">
        <f t="shared" si="5"/>
        <v>P01V03</v>
      </c>
      <c r="AA7" s="51" t="str">
        <f t="shared" si="6"/>
        <v>D01S01P01V03</v>
      </c>
      <c r="AB7" s="60" t="s">
        <v>172</v>
      </c>
    </row>
    <row r="8" spans="1:28" x14ac:dyDescent="0.25">
      <c r="C8" s="58" t="s">
        <v>151</v>
      </c>
      <c r="D8" s="58" t="s">
        <v>153</v>
      </c>
      <c r="E8" s="58" t="s">
        <v>166</v>
      </c>
      <c r="F8" s="58" t="s">
        <v>156</v>
      </c>
      <c r="G8" s="58" t="s">
        <v>435</v>
      </c>
      <c r="H8" s="58" t="s">
        <v>439</v>
      </c>
      <c r="I8" s="58" t="s">
        <v>440</v>
      </c>
      <c r="J8" s="50"/>
      <c r="K8" s="60"/>
      <c r="L8" s="58" t="str">
        <f t="shared" si="7"/>
        <v>D01</v>
      </c>
      <c r="M8" s="58" t="str">
        <f t="shared" si="0"/>
        <v>S01</v>
      </c>
      <c r="N8" s="58" t="s">
        <v>161</v>
      </c>
      <c r="O8" s="58" t="s">
        <v>157</v>
      </c>
      <c r="P8" s="58" t="str">
        <f>_xlfn.CONCAT(L8,M8)</f>
        <v>D01S01</v>
      </c>
      <c r="Q8" s="58" t="str">
        <f>_xlfn.CONCAT(O8,N8)</f>
        <v>P02V04</v>
      </c>
      <c r="R8" s="58" t="str">
        <f>_xlfn.CONCAT(P8,Q8)</f>
        <v>D01S01P02V04</v>
      </c>
      <c r="U8" s="51" t="s">
        <v>151</v>
      </c>
      <c r="V8" s="51" t="s">
        <v>153</v>
      </c>
      <c r="W8" s="52" t="s">
        <v>161</v>
      </c>
      <c r="X8" s="51" t="s">
        <v>156</v>
      </c>
      <c r="Y8" s="51" t="str">
        <f t="shared" si="4"/>
        <v>D01S01</v>
      </c>
      <c r="Z8" s="51" t="str">
        <f t="shared" si="5"/>
        <v>P01V04</v>
      </c>
      <c r="AA8" s="51" t="str">
        <f t="shared" si="6"/>
        <v>D01S01P01V04</v>
      </c>
      <c r="AB8" s="60" t="s">
        <v>173</v>
      </c>
    </row>
    <row r="9" spans="1:28" x14ac:dyDescent="0.25">
      <c r="C9" s="58" t="s">
        <v>151</v>
      </c>
      <c r="D9" s="58" t="s">
        <v>153</v>
      </c>
      <c r="E9" s="58" t="s">
        <v>166</v>
      </c>
      <c r="F9" s="58" t="s">
        <v>157</v>
      </c>
      <c r="G9" s="58" t="s">
        <v>435</v>
      </c>
      <c r="H9" s="58" t="s">
        <v>474</v>
      </c>
      <c r="I9" s="58" t="s">
        <v>475</v>
      </c>
      <c r="J9" s="50"/>
      <c r="K9" s="60"/>
      <c r="L9" s="58" t="str">
        <f t="shared" si="7"/>
        <v>D01</v>
      </c>
      <c r="M9" s="58" t="str">
        <f t="shared" si="0"/>
        <v>S01</v>
      </c>
      <c r="N9" s="58" t="s">
        <v>161</v>
      </c>
      <c r="O9" s="58" t="s">
        <v>158</v>
      </c>
      <c r="P9" s="58" t="str">
        <f t="shared" ref="P9" si="14">_xlfn.CONCAT(L9,M9)</f>
        <v>D01S01</v>
      </c>
      <c r="Q9" s="58" t="str">
        <f t="shared" ref="Q9" si="15">_xlfn.CONCAT(O9,N9)</f>
        <v>P03V04</v>
      </c>
      <c r="R9" s="58" t="str">
        <f t="shared" ref="R9" si="16">_xlfn.CONCAT(P9,Q9)</f>
        <v>D01S01P03V04</v>
      </c>
      <c r="U9" s="51" t="s">
        <v>151</v>
      </c>
      <c r="V9" s="51" t="s">
        <v>153</v>
      </c>
      <c r="W9" s="52" t="s">
        <v>162</v>
      </c>
      <c r="X9" s="51" t="s">
        <v>156</v>
      </c>
      <c r="Y9" s="51" t="str">
        <f t="shared" si="4"/>
        <v>D01S01</v>
      </c>
      <c r="Z9" s="51" t="str">
        <f t="shared" si="5"/>
        <v>P01V05</v>
      </c>
      <c r="AA9" s="51" t="str">
        <f t="shared" si="6"/>
        <v>D01S01P01V05</v>
      </c>
      <c r="AB9" s="60" t="s">
        <v>174</v>
      </c>
    </row>
    <row r="10" spans="1:28" x14ac:dyDescent="0.25">
      <c r="C10" s="58" t="s">
        <v>151</v>
      </c>
      <c r="D10" s="58" t="s">
        <v>153</v>
      </c>
      <c r="E10" s="58" t="s">
        <v>166</v>
      </c>
      <c r="F10" s="58" t="s">
        <v>158</v>
      </c>
      <c r="G10" s="58" t="s">
        <v>435</v>
      </c>
      <c r="H10" s="58" t="s">
        <v>476</v>
      </c>
      <c r="I10" s="58" t="s">
        <v>477</v>
      </c>
      <c r="J10" s="50"/>
      <c r="K10" s="60"/>
      <c r="L10" s="58" t="str">
        <f t="shared" si="7"/>
        <v>D01</v>
      </c>
      <c r="M10" s="58" t="str">
        <f t="shared" si="0"/>
        <v>S01</v>
      </c>
      <c r="N10" s="58" t="s">
        <v>162</v>
      </c>
      <c r="O10" s="58" t="s">
        <v>157</v>
      </c>
      <c r="P10" s="58" t="str">
        <f>_xlfn.CONCAT(L10,M10)</f>
        <v>D01S01</v>
      </c>
      <c r="Q10" s="58" t="str">
        <f>_xlfn.CONCAT(O10,N10)</f>
        <v>P02V05</v>
      </c>
      <c r="R10" s="58" t="str">
        <f>_xlfn.CONCAT(P10,Q10)</f>
        <v>D01S01P02V05</v>
      </c>
      <c r="U10" s="51" t="s">
        <v>151</v>
      </c>
      <c r="V10" s="51" t="s">
        <v>153</v>
      </c>
      <c r="W10" s="52" t="s">
        <v>163</v>
      </c>
      <c r="X10" s="51" t="s">
        <v>156</v>
      </c>
      <c r="Y10" s="51" t="str">
        <f t="shared" si="4"/>
        <v>D01S01</v>
      </c>
      <c r="Z10" s="51" t="str">
        <f t="shared" si="5"/>
        <v>P01V06</v>
      </c>
      <c r="AA10" s="51" t="str">
        <f t="shared" si="6"/>
        <v>D01S01P01V06</v>
      </c>
      <c r="AB10" s="60" t="s">
        <v>175</v>
      </c>
    </row>
    <row r="11" spans="1:28" x14ac:dyDescent="0.25">
      <c r="C11" s="58" t="s">
        <v>151</v>
      </c>
      <c r="D11" s="58" t="s">
        <v>153</v>
      </c>
      <c r="E11" s="58" t="s">
        <v>161</v>
      </c>
      <c r="F11" s="58" t="s">
        <v>156</v>
      </c>
      <c r="G11" s="58" t="s">
        <v>435</v>
      </c>
      <c r="H11" s="58" t="s">
        <v>441</v>
      </c>
      <c r="I11" s="58" t="s">
        <v>442</v>
      </c>
      <c r="J11" s="50"/>
      <c r="K11" s="60"/>
      <c r="L11" s="58" t="str">
        <f t="shared" si="7"/>
        <v>D01</v>
      </c>
      <c r="M11" s="58" t="str">
        <f t="shared" si="0"/>
        <v>S01</v>
      </c>
      <c r="N11" s="58" t="s">
        <v>162</v>
      </c>
      <c r="O11" s="58" t="s">
        <v>158</v>
      </c>
      <c r="P11" s="58" t="str">
        <f t="shared" ref="P11" si="17">_xlfn.CONCAT(L11,M11)</f>
        <v>D01S01</v>
      </c>
      <c r="Q11" s="58" t="str">
        <f t="shared" ref="Q11" si="18">_xlfn.CONCAT(O11,N11)</f>
        <v>P03V05</v>
      </c>
      <c r="R11" s="58" t="str">
        <f t="shared" ref="R11" si="19">_xlfn.CONCAT(P11,Q11)</f>
        <v>D01S01P03V05</v>
      </c>
      <c r="U11" s="51" t="s">
        <v>151</v>
      </c>
      <c r="V11" s="51" t="s">
        <v>153</v>
      </c>
      <c r="W11" s="51" t="s">
        <v>164</v>
      </c>
      <c r="X11" s="52" t="s">
        <v>157</v>
      </c>
      <c r="Y11" s="51" t="str">
        <f t="shared" si="4"/>
        <v>D01S01</v>
      </c>
      <c r="Z11" s="51" t="str">
        <f t="shared" si="5"/>
        <v>P02V01</v>
      </c>
      <c r="AA11" s="51" t="str">
        <f t="shared" si="6"/>
        <v>D01S01P02V01</v>
      </c>
      <c r="AB11" s="60" t="s">
        <v>176</v>
      </c>
    </row>
    <row r="12" spans="1:28" x14ac:dyDescent="0.25">
      <c r="C12" s="58" t="s">
        <v>151</v>
      </c>
      <c r="D12" s="58" t="s">
        <v>153</v>
      </c>
      <c r="E12" s="58" t="s">
        <v>161</v>
      </c>
      <c r="F12" s="58" t="s">
        <v>157</v>
      </c>
      <c r="G12" s="58" t="s">
        <v>435</v>
      </c>
      <c r="H12" s="58" t="s">
        <v>478</v>
      </c>
      <c r="I12" s="58" t="s">
        <v>479</v>
      </c>
      <c r="J12" s="50"/>
      <c r="K12" s="60"/>
      <c r="L12" s="58" t="str">
        <f t="shared" si="7"/>
        <v>D01</v>
      </c>
      <c r="M12" s="58" t="str">
        <f t="shared" si="0"/>
        <v>S01</v>
      </c>
      <c r="N12" s="58" t="s">
        <v>163</v>
      </c>
      <c r="O12" s="58" t="s">
        <v>157</v>
      </c>
      <c r="P12" s="58" t="str">
        <f>_xlfn.CONCAT(L12,M12)</f>
        <v>D01S01</v>
      </c>
      <c r="Q12" s="58" t="str">
        <f>_xlfn.CONCAT(O12,N12)</f>
        <v>P02V06</v>
      </c>
      <c r="R12" s="58" t="str">
        <f>_xlfn.CONCAT(P12,Q12)</f>
        <v>D01S01P02V06</v>
      </c>
      <c r="U12" s="51" t="s">
        <v>151</v>
      </c>
      <c r="V12" s="51" t="s">
        <v>153</v>
      </c>
      <c r="W12" s="51" t="s">
        <v>164</v>
      </c>
      <c r="X12" s="52" t="s">
        <v>158</v>
      </c>
      <c r="Y12" s="51" t="str">
        <f t="shared" si="4"/>
        <v>D01S01</v>
      </c>
      <c r="Z12" s="51" t="str">
        <f t="shared" si="5"/>
        <v>P03V01</v>
      </c>
      <c r="AA12" s="51" t="str">
        <f t="shared" si="6"/>
        <v>D01S01P03V01</v>
      </c>
      <c r="AB12" s="60" t="s">
        <v>177</v>
      </c>
    </row>
    <row r="13" spans="1:28" s="50" customFormat="1" x14ac:dyDescent="0.25">
      <c r="C13" s="58" t="s">
        <v>151</v>
      </c>
      <c r="D13" s="58" t="s">
        <v>153</v>
      </c>
      <c r="E13" s="58" t="s">
        <v>161</v>
      </c>
      <c r="F13" s="58" t="s">
        <v>158</v>
      </c>
      <c r="G13" s="58" t="s">
        <v>435</v>
      </c>
      <c r="H13" s="58" t="s">
        <v>480</v>
      </c>
      <c r="I13" s="58" t="s">
        <v>481</v>
      </c>
      <c r="K13" s="59"/>
      <c r="L13" s="58" t="str">
        <f t="shared" si="7"/>
        <v>D01</v>
      </c>
      <c r="M13" s="58" t="str">
        <f t="shared" si="0"/>
        <v>S01</v>
      </c>
      <c r="N13" s="58" t="s">
        <v>163</v>
      </c>
      <c r="O13" s="58" t="s">
        <v>158</v>
      </c>
      <c r="P13" s="58" t="str">
        <f t="shared" ref="P13" si="20">_xlfn.CONCAT(L13,M13)</f>
        <v>D01S01</v>
      </c>
      <c r="Q13" s="58" t="str">
        <f t="shared" ref="Q13" si="21">_xlfn.CONCAT(O13,N13)</f>
        <v>P03V06</v>
      </c>
      <c r="R13" s="58" t="str">
        <f t="shared" ref="R13" si="22">_xlfn.CONCAT(P13,Q13)</f>
        <v>D01S01P03V06</v>
      </c>
      <c r="U13" s="51" t="s">
        <v>151</v>
      </c>
      <c r="V13" s="51" t="s">
        <v>153</v>
      </c>
      <c r="W13" s="51" t="s">
        <v>163</v>
      </c>
      <c r="X13" s="51" t="s">
        <v>158</v>
      </c>
      <c r="Y13" s="51" t="str">
        <f t="shared" si="4"/>
        <v>D01S01</v>
      </c>
      <c r="Z13" s="51" t="str">
        <f t="shared" si="5"/>
        <v>P03V06</v>
      </c>
      <c r="AA13" s="51" t="str">
        <f t="shared" si="6"/>
        <v>D01S01P03V06</v>
      </c>
      <c r="AB13" s="59" t="s">
        <v>178</v>
      </c>
    </row>
    <row r="14" spans="1:28" x14ac:dyDescent="0.25">
      <c r="C14" s="58" t="s">
        <v>151</v>
      </c>
      <c r="D14" s="58" t="s">
        <v>153</v>
      </c>
      <c r="E14" s="58" t="s">
        <v>162</v>
      </c>
      <c r="F14" s="58" t="s">
        <v>156</v>
      </c>
      <c r="G14" s="58" t="s">
        <v>435</v>
      </c>
      <c r="H14" s="58" t="s">
        <v>443</v>
      </c>
      <c r="I14" s="58" t="s">
        <v>444</v>
      </c>
      <c r="J14" s="50"/>
      <c r="K14" s="60"/>
      <c r="L14" s="58" t="str">
        <f t="shared" si="7"/>
        <v>D01</v>
      </c>
      <c r="M14" s="58" t="s">
        <v>154</v>
      </c>
      <c r="N14" s="58" t="s">
        <v>164</v>
      </c>
      <c r="O14" s="58" t="s">
        <v>157</v>
      </c>
      <c r="P14" s="58" t="str">
        <f>_xlfn.CONCAT(L14,M14)</f>
        <v>D01S02</v>
      </c>
      <c r="Q14" s="58" t="str">
        <f>_xlfn.CONCAT(O14,N14)</f>
        <v>P02V01</v>
      </c>
      <c r="R14" s="58" t="str">
        <f>_xlfn.CONCAT(P14,Q14)</f>
        <v>D01S02P02V01</v>
      </c>
      <c r="U14" s="52" t="s">
        <v>152</v>
      </c>
      <c r="V14" s="51" t="s">
        <v>153</v>
      </c>
      <c r="W14" s="51" t="s">
        <v>163</v>
      </c>
      <c r="X14" s="51" t="s">
        <v>158</v>
      </c>
      <c r="Y14" s="51" t="str">
        <f t="shared" si="4"/>
        <v>D02S01</v>
      </c>
      <c r="Z14" s="51" t="str">
        <f t="shared" si="5"/>
        <v>P03V06</v>
      </c>
      <c r="AA14" s="51" t="str">
        <f t="shared" si="6"/>
        <v>D02S01P03V06</v>
      </c>
      <c r="AB14" s="60" t="s">
        <v>168</v>
      </c>
    </row>
    <row r="15" spans="1:28" x14ac:dyDescent="0.25">
      <c r="C15" s="58" t="s">
        <v>151</v>
      </c>
      <c r="D15" s="58" t="s">
        <v>153</v>
      </c>
      <c r="E15" s="58" t="s">
        <v>162</v>
      </c>
      <c r="F15" s="58" t="s">
        <v>157</v>
      </c>
      <c r="G15" s="58" t="s">
        <v>435</v>
      </c>
      <c r="H15" s="58" t="s">
        <v>482</v>
      </c>
      <c r="I15" s="58" t="s">
        <v>483</v>
      </c>
      <c r="J15" s="50"/>
      <c r="K15" s="60"/>
      <c r="L15" s="58" t="str">
        <f t="shared" si="7"/>
        <v>D01</v>
      </c>
      <c r="M15" s="58" t="str">
        <f t="shared" si="7"/>
        <v>S02</v>
      </c>
      <c r="N15" s="58" t="s">
        <v>164</v>
      </c>
      <c r="O15" s="58" t="s">
        <v>158</v>
      </c>
      <c r="P15" s="58" t="str">
        <f t="shared" ref="P15" si="23">_xlfn.CONCAT(L15,M15)</f>
        <v>D01S02</v>
      </c>
      <c r="Q15" s="58" t="str">
        <f t="shared" ref="Q15" si="24">_xlfn.CONCAT(O15,N15)</f>
        <v>P03V01</v>
      </c>
      <c r="R15" s="58" t="str">
        <f t="shared" ref="R15" si="25">_xlfn.CONCAT(P15,Q15)</f>
        <v>D01S02P03V01</v>
      </c>
      <c r="U15" s="51" t="s">
        <v>151</v>
      </c>
      <c r="V15" s="52" t="s">
        <v>154</v>
      </c>
      <c r="W15" s="51" t="s">
        <v>163</v>
      </c>
      <c r="X15" s="51" t="s">
        <v>158</v>
      </c>
      <c r="Y15" s="51" t="str">
        <f t="shared" si="4"/>
        <v>D01S02</v>
      </c>
      <c r="Z15" s="51" t="str">
        <f t="shared" si="5"/>
        <v>P03V06</v>
      </c>
      <c r="AA15" s="51" t="str">
        <f t="shared" si="6"/>
        <v>D01S02P03V06</v>
      </c>
      <c r="AB15" s="60" t="s">
        <v>169</v>
      </c>
    </row>
    <row r="16" spans="1:28" x14ac:dyDescent="0.25">
      <c r="C16" s="58" t="s">
        <v>151</v>
      </c>
      <c r="D16" s="58" t="s">
        <v>153</v>
      </c>
      <c r="E16" s="58" t="s">
        <v>162</v>
      </c>
      <c r="F16" s="58" t="s">
        <v>158</v>
      </c>
      <c r="G16" s="58" t="s">
        <v>435</v>
      </c>
      <c r="H16" s="58" t="s">
        <v>484</v>
      </c>
      <c r="I16" s="58" t="s">
        <v>485</v>
      </c>
      <c r="J16" s="50"/>
      <c r="K16" s="60"/>
      <c r="L16" s="58" t="str">
        <f t="shared" si="7"/>
        <v>D01</v>
      </c>
      <c r="M16" s="58" t="str">
        <f t="shared" si="7"/>
        <v>S02</v>
      </c>
      <c r="N16" s="58" t="s">
        <v>165</v>
      </c>
      <c r="O16" s="58" t="s">
        <v>157</v>
      </c>
      <c r="P16" s="58" t="str">
        <f>_xlfn.CONCAT(L16,M16)</f>
        <v>D01S02</v>
      </c>
      <c r="Q16" s="58" t="str">
        <f>_xlfn.CONCAT(O16,N16)</f>
        <v>P02V02</v>
      </c>
      <c r="R16" s="58" t="str">
        <f>_xlfn.CONCAT(P16,Q16)</f>
        <v>D01S02P02V02</v>
      </c>
      <c r="U16" s="51" t="s">
        <v>151</v>
      </c>
      <c r="V16" s="52" t="s">
        <v>155</v>
      </c>
      <c r="W16" s="51" t="s">
        <v>163</v>
      </c>
      <c r="X16" s="51" t="s">
        <v>158</v>
      </c>
      <c r="Y16" s="51" t="str">
        <f t="shared" si="4"/>
        <v>D01S03</v>
      </c>
      <c r="Z16" s="51" t="str">
        <f t="shared" si="5"/>
        <v>P03V06</v>
      </c>
      <c r="AA16" s="51" t="str">
        <f t="shared" si="6"/>
        <v>D01S03P03V06</v>
      </c>
      <c r="AB16" s="60" t="s">
        <v>170</v>
      </c>
    </row>
    <row r="17" spans="3:28" x14ac:dyDescent="0.25">
      <c r="C17" s="58" t="s">
        <v>151</v>
      </c>
      <c r="D17" s="58" t="s">
        <v>153</v>
      </c>
      <c r="E17" s="58" t="s">
        <v>163</v>
      </c>
      <c r="F17" s="58" t="s">
        <v>156</v>
      </c>
      <c r="G17" s="58" t="s">
        <v>435</v>
      </c>
      <c r="H17" s="58" t="s">
        <v>445</v>
      </c>
      <c r="I17" s="58" t="s">
        <v>446</v>
      </c>
      <c r="J17" s="50"/>
      <c r="K17" s="60"/>
      <c r="L17" s="58" t="str">
        <f t="shared" si="7"/>
        <v>D01</v>
      </c>
      <c r="M17" s="58" t="str">
        <f t="shared" si="7"/>
        <v>S02</v>
      </c>
      <c r="N17" s="58" t="s">
        <v>165</v>
      </c>
      <c r="O17" s="58" t="s">
        <v>158</v>
      </c>
      <c r="P17" s="58" t="str">
        <f t="shared" ref="P17" si="26">_xlfn.CONCAT(L17,M17)</f>
        <v>D01S02</v>
      </c>
      <c r="Q17" s="58" t="str">
        <f t="shared" ref="Q17" si="27">_xlfn.CONCAT(O17,N17)</f>
        <v>P03V02</v>
      </c>
      <c r="R17" s="58" t="str">
        <f t="shared" ref="R17" si="28">_xlfn.CONCAT(P17,Q17)</f>
        <v>D01S02P03V02</v>
      </c>
      <c r="U17" s="51" t="s">
        <v>151</v>
      </c>
      <c r="V17" s="51" t="s">
        <v>153</v>
      </c>
      <c r="W17" s="52" t="s">
        <v>164</v>
      </c>
      <c r="X17" s="51" t="s">
        <v>158</v>
      </c>
      <c r="Y17" s="51" t="str">
        <f t="shared" si="4"/>
        <v>D01S01</v>
      </c>
      <c r="Z17" s="51" t="str">
        <f t="shared" si="5"/>
        <v>P03V01</v>
      </c>
      <c r="AA17" s="51" t="str">
        <f t="shared" si="6"/>
        <v>D01S01P03V01</v>
      </c>
      <c r="AB17" s="60" t="s">
        <v>179</v>
      </c>
    </row>
    <row r="18" spans="3:28" x14ac:dyDescent="0.25">
      <c r="C18" s="58" t="s">
        <v>151</v>
      </c>
      <c r="D18" s="58" t="s">
        <v>153</v>
      </c>
      <c r="E18" s="58" t="s">
        <v>163</v>
      </c>
      <c r="F18" s="58" t="s">
        <v>157</v>
      </c>
      <c r="G18" s="58" t="s">
        <v>435</v>
      </c>
      <c r="H18" s="58" t="s">
        <v>486</v>
      </c>
      <c r="I18" s="58" t="s">
        <v>487</v>
      </c>
      <c r="J18" s="50"/>
      <c r="K18" s="60"/>
      <c r="L18" s="58" t="str">
        <f t="shared" si="7"/>
        <v>D01</v>
      </c>
      <c r="M18" s="58" t="str">
        <f t="shared" si="7"/>
        <v>S02</v>
      </c>
      <c r="N18" s="58" t="s">
        <v>166</v>
      </c>
      <c r="O18" s="58" t="s">
        <v>157</v>
      </c>
      <c r="P18" s="58" t="str">
        <f>_xlfn.CONCAT(L18,M18)</f>
        <v>D01S02</v>
      </c>
      <c r="Q18" s="58" t="str">
        <f>_xlfn.CONCAT(O18,N18)</f>
        <v>P02V03</v>
      </c>
      <c r="R18" s="58" t="str">
        <f>_xlfn.CONCAT(P18,Q18)</f>
        <v>D01S02P02V03</v>
      </c>
      <c r="U18" s="51" t="s">
        <v>151</v>
      </c>
      <c r="V18" s="51" t="s">
        <v>153</v>
      </c>
      <c r="W18" s="52" t="s">
        <v>165</v>
      </c>
      <c r="X18" s="51" t="s">
        <v>158</v>
      </c>
      <c r="Y18" s="51" t="str">
        <f t="shared" si="4"/>
        <v>D01S01</v>
      </c>
      <c r="Z18" s="51" t="str">
        <f t="shared" si="5"/>
        <v>P03V02</v>
      </c>
      <c r="AA18" s="51" t="str">
        <f t="shared" si="6"/>
        <v>D01S01P03V02</v>
      </c>
      <c r="AB18" s="60" t="s">
        <v>171</v>
      </c>
    </row>
    <row r="19" spans="3:28" x14ac:dyDescent="0.25">
      <c r="C19" s="58" t="s">
        <v>151</v>
      </c>
      <c r="D19" s="58" t="s">
        <v>153</v>
      </c>
      <c r="E19" s="58" t="s">
        <v>163</v>
      </c>
      <c r="F19" s="58" t="s">
        <v>158</v>
      </c>
      <c r="G19" s="58" t="s">
        <v>435</v>
      </c>
      <c r="H19" s="58" t="s">
        <v>488</v>
      </c>
      <c r="I19" s="58" t="s">
        <v>489</v>
      </c>
      <c r="J19" s="50"/>
      <c r="K19" s="60"/>
      <c r="L19" s="58" t="str">
        <f t="shared" si="7"/>
        <v>D01</v>
      </c>
      <c r="M19" s="58" t="str">
        <f t="shared" si="7"/>
        <v>S02</v>
      </c>
      <c r="N19" s="58" t="s">
        <v>166</v>
      </c>
      <c r="O19" s="58" t="s">
        <v>158</v>
      </c>
      <c r="P19" s="58" t="str">
        <f t="shared" ref="P19" si="29">_xlfn.CONCAT(L19,M19)</f>
        <v>D01S02</v>
      </c>
      <c r="Q19" s="58" t="str">
        <f t="shared" ref="Q19" si="30">_xlfn.CONCAT(O19,N19)</f>
        <v>P03V03</v>
      </c>
      <c r="R19" s="58" t="str">
        <f t="shared" ref="R19" si="31">_xlfn.CONCAT(P19,Q19)</f>
        <v>D01S02P03V03</v>
      </c>
      <c r="U19" s="51" t="s">
        <v>151</v>
      </c>
      <c r="V19" s="51" t="s">
        <v>153</v>
      </c>
      <c r="W19" s="52" t="s">
        <v>166</v>
      </c>
      <c r="X19" s="51" t="s">
        <v>158</v>
      </c>
      <c r="Y19" s="51" t="str">
        <f t="shared" si="4"/>
        <v>D01S01</v>
      </c>
      <c r="Z19" s="51" t="str">
        <f t="shared" si="5"/>
        <v>P03V03</v>
      </c>
      <c r="AA19" s="51" t="str">
        <f t="shared" si="6"/>
        <v>D01S01P03V03</v>
      </c>
      <c r="AB19" s="60" t="s">
        <v>172</v>
      </c>
    </row>
    <row r="20" spans="3:28" x14ac:dyDescent="0.25">
      <c r="C20" s="58" t="s">
        <v>151</v>
      </c>
      <c r="D20" s="58" t="s">
        <v>154</v>
      </c>
      <c r="E20" s="58" t="s">
        <v>164</v>
      </c>
      <c r="F20" s="58" t="s">
        <v>156</v>
      </c>
      <c r="G20" s="58" t="s">
        <v>447</v>
      </c>
      <c r="H20" s="58" t="s">
        <v>436</v>
      </c>
      <c r="I20" s="58" t="s">
        <v>448</v>
      </c>
      <c r="J20" s="50"/>
      <c r="K20" s="60"/>
      <c r="L20" s="58" t="str">
        <f t="shared" ref="L20:M35" si="32">+L19</f>
        <v>D01</v>
      </c>
      <c r="M20" s="58" t="str">
        <f t="shared" si="32"/>
        <v>S02</v>
      </c>
      <c r="N20" s="58" t="s">
        <v>161</v>
      </c>
      <c r="O20" s="58" t="s">
        <v>157</v>
      </c>
      <c r="P20" s="58" t="str">
        <f>_xlfn.CONCAT(L20,M20)</f>
        <v>D01S02</v>
      </c>
      <c r="Q20" s="58" t="str">
        <f>_xlfn.CONCAT(O20,N20)</f>
        <v>P02V04</v>
      </c>
      <c r="R20" s="58" t="str">
        <f>_xlfn.CONCAT(P20,Q20)</f>
        <v>D01S02P02V04</v>
      </c>
      <c r="U20" s="51" t="s">
        <v>151</v>
      </c>
      <c r="V20" s="51" t="s">
        <v>153</v>
      </c>
      <c r="W20" s="52" t="s">
        <v>161</v>
      </c>
      <c r="X20" s="51" t="s">
        <v>158</v>
      </c>
      <c r="Y20" s="51" t="str">
        <f t="shared" si="4"/>
        <v>D01S01</v>
      </c>
      <c r="Z20" s="51" t="str">
        <f t="shared" si="5"/>
        <v>P03V04</v>
      </c>
      <c r="AA20" s="51" t="str">
        <f t="shared" si="6"/>
        <v>D01S01P03V04</v>
      </c>
      <c r="AB20" s="60" t="s">
        <v>173</v>
      </c>
    </row>
    <row r="21" spans="3:28" x14ac:dyDescent="0.25">
      <c r="C21" s="58" t="s">
        <v>151</v>
      </c>
      <c r="D21" s="58" t="s">
        <v>154</v>
      </c>
      <c r="E21" s="58" t="s">
        <v>164</v>
      </c>
      <c r="F21" s="58" t="s">
        <v>157</v>
      </c>
      <c r="G21" s="58" t="s">
        <v>447</v>
      </c>
      <c r="H21" s="58" t="s">
        <v>467</v>
      </c>
      <c r="I21" s="58" t="s">
        <v>506</v>
      </c>
      <c r="J21" s="50"/>
      <c r="K21" s="60"/>
      <c r="L21" s="58" t="str">
        <f t="shared" si="32"/>
        <v>D01</v>
      </c>
      <c r="M21" s="58" t="str">
        <f t="shared" si="32"/>
        <v>S02</v>
      </c>
      <c r="N21" s="58" t="s">
        <v>161</v>
      </c>
      <c r="O21" s="58" t="s">
        <v>158</v>
      </c>
      <c r="P21" s="58" t="str">
        <f t="shared" ref="P21" si="33">_xlfn.CONCAT(L21,M21)</f>
        <v>D01S02</v>
      </c>
      <c r="Q21" s="58" t="str">
        <f t="shared" ref="Q21" si="34">_xlfn.CONCAT(O21,N21)</f>
        <v>P03V04</v>
      </c>
      <c r="R21" s="58" t="str">
        <f t="shared" ref="R21" si="35">_xlfn.CONCAT(P21,Q21)</f>
        <v>D01S02P03V04</v>
      </c>
      <c r="U21" s="51" t="s">
        <v>151</v>
      </c>
      <c r="V21" s="51" t="s">
        <v>153</v>
      </c>
      <c r="W21" s="52" t="s">
        <v>162</v>
      </c>
      <c r="X21" s="51" t="s">
        <v>158</v>
      </c>
      <c r="Y21" s="51" t="str">
        <f t="shared" si="4"/>
        <v>D01S01</v>
      </c>
      <c r="Z21" s="51" t="str">
        <f t="shared" si="5"/>
        <v>P03V05</v>
      </c>
      <c r="AA21" s="51" t="str">
        <f t="shared" si="6"/>
        <v>D01S01P03V05</v>
      </c>
      <c r="AB21" s="60" t="s">
        <v>174</v>
      </c>
    </row>
    <row r="22" spans="3:28" x14ac:dyDescent="0.25">
      <c r="C22" s="58" t="s">
        <v>151</v>
      </c>
      <c r="D22" s="58" t="s">
        <v>154</v>
      </c>
      <c r="E22" s="58" t="s">
        <v>164</v>
      </c>
      <c r="F22" s="58" t="s">
        <v>158</v>
      </c>
      <c r="G22" s="58" t="s">
        <v>447</v>
      </c>
      <c r="H22" s="58" t="s">
        <v>469</v>
      </c>
      <c r="I22" s="58" t="s">
        <v>507</v>
      </c>
      <c r="J22" s="50"/>
      <c r="K22" s="60"/>
      <c r="L22" s="58" t="str">
        <f t="shared" si="32"/>
        <v>D01</v>
      </c>
      <c r="M22" s="58" t="str">
        <f t="shared" si="32"/>
        <v>S02</v>
      </c>
      <c r="N22" s="58" t="s">
        <v>162</v>
      </c>
      <c r="O22" s="58" t="s">
        <v>157</v>
      </c>
      <c r="P22" s="58" t="str">
        <f>_xlfn.CONCAT(L22,M22)</f>
        <v>D01S02</v>
      </c>
      <c r="Q22" s="58" t="str">
        <f>_xlfn.CONCAT(O22,N22)</f>
        <v>P02V05</v>
      </c>
      <c r="R22" s="58" t="str">
        <f>_xlfn.CONCAT(P22,Q22)</f>
        <v>D01S02P02V05</v>
      </c>
      <c r="U22" s="51" t="s">
        <v>151</v>
      </c>
      <c r="V22" s="51" t="s">
        <v>153</v>
      </c>
      <c r="W22" s="51" t="s">
        <v>163</v>
      </c>
      <c r="X22" s="52" t="s">
        <v>156</v>
      </c>
      <c r="Y22" s="51" t="str">
        <f t="shared" si="4"/>
        <v>D01S01</v>
      </c>
      <c r="Z22" s="51" t="str">
        <f t="shared" si="5"/>
        <v>P01V06</v>
      </c>
      <c r="AA22" s="51" t="str">
        <f t="shared" si="6"/>
        <v>D01S01P01V06</v>
      </c>
      <c r="AB22" s="60" t="s">
        <v>180</v>
      </c>
    </row>
    <row r="23" spans="3:28" x14ac:dyDescent="0.25">
      <c r="C23" s="58" t="s">
        <v>151</v>
      </c>
      <c r="D23" s="58" t="s">
        <v>154</v>
      </c>
      <c r="E23" s="58" t="s">
        <v>165</v>
      </c>
      <c r="F23" s="58" t="s">
        <v>156</v>
      </c>
      <c r="G23" s="58" t="s">
        <v>447</v>
      </c>
      <c r="H23" s="58" t="s">
        <v>437</v>
      </c>
      <c r="I23" s="58" t="s">
        <v>508</v>
      </c>
      <c r="J23" s="50"/>
      <c r="K23" s="60"/>
      <c r="L23" s="58" t="str">
        <f t="shared" si="32"/>
        <v>D01</v>
      </c>
      <c r="M23" s="58" t="str">
        <f t="shared" si="32"/>
        <v>S02</v>
      </c>
      <c r="N23" s="58" t="s">
        <v>162</v>
      </c>
      <c r="O23" s="58" t="s">
        <v>158</v>
      </c>
      <c r="P23" s="58" t="str">
        <f t="shared" ref="P23" si="36">_xlfn.CONCAT(L23,M23)</f>
        <v>D01S02</v>
      </c>
      <c r="Q23" s="58" t="str">
        <f t="shared" ref="Q23" si="37">_xlfn.CONCAT(O23,N23)</f>
        <v>P03V05</v>
      </c>
      <c r="R23" s="58" t="str">
        <f t="shared" ref="R23" si="38">_xlfn.CONCAT(P23,Q23)</f>
        <v>D01S02P03V05</v>
      </c>
      <c r="U23" s="51" t="s">
        <v>151</v>
      </c>
      <c r="V23" s="51" t="s">
        <v>153</v>
      </c>
      <c r="W23" s="51" t="s">
        <v>163</v>
      </c>
      <c r="X23" s="52" t="s">
        <v>157</v>
      </c>
      <c r="Y23" s="51" t="str">
        <f t="shared" si="4"/>
        <v>D01S01</v>
      </c>
      <c r="Z23" s="51" t="str">
        <f t="shared" si="5"/>
        <v>P02V06</v>
      </c>
      <c r="AA23" s="51" t="str">
        <f t="shared" si="6"/>
        <v>D01S01P02V06</v>
      </c>
      <c r="AB23" s="60" t="s">
        <v>176</v>
      </c>
    </row>
    <row r="24" spans="3:28" s="50" customFormat="1" x14ac:dyDescent="0.25">
      <c r="C24" s="58" t="s">
        <v>151</v>
      </c>
      <c r="D24" s="58" t="s">
        <v>154</v>
      </c>
      <c r="E24" s="58" t="s">
        <v>165</v>
      </c>
      <c r="F24" s="58" t="s">
        <v>157</v>
      </c>
      <c r="G24" s="58" t="s">
        <v>447</v>
      </c>
      <c r="H24" s="58" t="s">
        <v>471</v>
      </c>
      <c r="I24" s="58" t="s">
        <v>509</v>
      </c>
      <c r="K24" s="59"/>
      <c r="L24" s="58" t="str">
        <f t="shared" si="32"/>
        <v>D01</v>
      </c>
      <c r="M24" s="58" t="str">
        <f t="shared" si="32"/>
        <v>S02</v>
      </c>
      <c r="N24" s="58" t="s">
        <v>163</v>
      </c>
      <c r="O24" s="58" t="s">
        <v>157</v>
      </c>
      <c r="P24" s="58" t="str">
        <f>_xlfn.CONCAT(L24,M24)</f>
        <v>D01S02</v>
      </c>
      <c r="Q24" s="58" t="str">
        <f>_xlfn.CONCAT(O24,N24)</f>
        <v>P02V06</v>
      </c>
      <c r="R24" s="58" t="str">
        <f>_xlfn.CONCAT(P24,Q24)</f>
        <v>D01S02P02V06</v>
      </c>
      <c r="U24" s="51" t="s">
        <v>151</v>
      </c>
      <c r="V24" s="51" t="s">
        <v>153</v>
      </c>
      <c r="W24" s="51" t="s">
        <v>165</v>
      </c>
      <c r="X24" s="51" t="s">
        <v>157</v>
      </c>
      <c r="Y24" s="51" t="str">
        <f t="shared" si="4"/>
        <v>D01S01</v>
      </c>
      <c r="Z24" s="51" t="str">
        <f t="shared" si="5"/>
        <v>P02V02</v>
      </c>
      <c r="AA24" s="51" t="str">
        <f t="shared" si="6"/>
        <v>D01S01P02V02</v>
      </c>
      <c r="AB24" s="59" t="s">
        <v>181</v>
      </c>
    </row>
    <row r="25" spans="3:28" x14ac:dyDescent="0.25">
      <c r="C25" s="58" t="s">
        <v>151</v>
      </c>
      <c r="D25" s="58" t="s">
        <v>154</v>
      </c>
      <c r="E25" s="58" t="s">
        <v>165</v>
      </c>
      <c r="F25" s="58" t="s">
        <v>158</v>
      </c>
      <c r="G25" s="58" t="s">
        <v>447</v>
      </c>
      <c r="H25" s="58" t="s">
        <v>472</v>
      </c>
      <c r="I25" s="58" t="s">
        <v>510</v>
      </c>
      <c r="J25" s="50"/>
      <c r="K25" s="60"/>
      <c r="L25" s="58" t="str">
        <f t="shared" si="32"/>
        <v>D01</v>
      </c>
      <c r="M25" s="58" t="str">
        <f t="shared" si="32"/>
        <v>S02</v>
      </c>
      <c r="N25" s="58" t="s">
        <v>163</v>
      </c>
      <c r="O25" s="58" t="s">
        <v>158</v>
      </c>
      <c r="P25" s="58" t="str">
        <f t="shared" ref="P25" si="39">_xlfn.CONCAT(L25,M25)</f>
        <v>D01S02</v>
      </c>
      <c r="Q25" s="58" t="str">
        <f t="shared" ref="Q25" si="40">_xlfn.CONCAT(O25,N25)</f>
        <v>P03V06</v>
      </c>
      <c r="R25" s="58" t="str">
        <f t="shared" ref="R25" si="41">_xlfn.CONCAT(P25,Q25)</f>
        <v>D01S02P03V06</v>
      </c>
      <c r="U25" s="52" t="s">
        <v>152</v>
      </c>
      <c r="V25" s="51" t="s">
        <v>153</v>
      </c>
      <c r="W25" s="51" t="s">
        <v>165</v>
      </c>
      <c r="X25" s="51" t="s">
        <v>157</v>
      </c>
      <c r="Y25" s="51" t="str">
        <f t="shared" si="4"/>
        <v>D02S01</v>
      </c>
      <c r="Z25" s="51" t="str">
        <f t="shared" si="5"/>
        <v>P02V02</v>
      </c>
      <c r="AA25" s="51" t="str">
        <f t="shared" si="6"/>
        <v>D02S01P02V02</v>
      </c>
      <c r="AB25" s="60" t="s">
        <v>168</v>
      </c>
    </row>
    <row r="26" spans="3:28" x14ac:dyDescent="0.25">
      <c r="C26" s="58" t="s">
        <v>151</v>
      </c>
      <c r="D26" s="58" t="s">
        <v>154</v>
      </c>
      <c r="E26" s="58" t="s">
        <v>166</v>
      </c>
      <c r="F26" s="58" t="s">
        <v>156</v>
      </c>
      <c r="G26" s="58" t="s">
        <v>447</v>
      </c>
      <c r="H26" s="58" t="s">
        <v>439</v>
      </c>
      <c r="I26" s="58" t="s">
        <v>511</v>
      </c>
      <c r="J26" s="50"/>
      <c r="K26" s="60"/>
      <c r="L26" s="58" t="str">
        <f t="shared" si="32"/>
        <v>D01</v>
      </c>
      <c r="M26" s="58" t="s">
        <v>155</v>
      </c>
      <c r="N26" s="58" t="s">
        <v>164</v>
      </c>
      <c r="O26" s="58" t="s">
        <v>157</v>
      </c>
      <c r="P26" s="58" t="str">
        <f>_xlfn.CONCAT(L26,M26)</f>
        <v>D01S03</v>
      </c>
      <c r="Q26" s="58" t="str">
        <f>_xlfn.CONCAT(O26,N26)</f>
        <v>P02V01</v>
      </c>
      <c r="R26" s="58" t="str">
        <f>_xlfn.CONCAT(P26,Q26)</f>
        <v>D01S03P02V01</v>
      </c>
      <c r="U26" s="51" t="s">
        <v>151</v>
      </c>
      <c r="V26" s="52" t="s">
        <v>154</v>
      </c>
      <c r="W26" s="51" t="s">
        <v>165</v>
      </c>
      <c r="X26" s="51" t="s">
        <v>157</v>
      </c>
      <c r="Y26" s="51" t="str">
        <f t="shared" si="4"/>
        <v>D01S02</v>
      </c>
      <c r="Z26" s="51" t="str">
        <f t="shared" si="5"/>
        <v>P02V02</v>
      </c>
      <c r="AA26" s="51" t="str">
        <f t="shared" si="6"/>
        <v>D01S02P02V02</v>
      </c>
      <c r="AB26" s="60" t="s">
        <v>169</v>
      </c>
    </row>
    <row r="27" spans="3:28" x14ac:dyDescent="0.25">
      <c r="C27" s="58" t="s">
        <v>151</v>
      </c>
      <c r="D27" s="58" t="s">
        <v>154</v>
      </c>
      <c r="E27" s="58" t="s">
        <v>166</v>
      </c>
      <c r="F27" s="58" t="s">
        <v>157</v>
      </c>
      <c r="G27" s="58" t="s">
        <v>447</v>
      </c>
      <c r="H27" s="58" t="s">
        <v>474</v>
      </c>
      <c r="I27" s="58" t="s">
        <v>512</v>
      </c>
      <c r="J27" s="50"/>
      <c r="K27" s="60"/>
      <c r="L27" s="58" t="str">
        <f t="shared" si="32"/>
        <v>D01</v>
      </c>
      <c r="M27" s="58" t="str">
        <f t="shared" si="32"/>
        <v>S03</v>
      </c>
      <c r="N27" s="58" t="s">
        <v>164</v>
      </c>
      <c r="O27" s="58" t="s">
        <v>158</v>
      </c>
      <c r="P27" s="58" t="str">
        <f t="shared" ref="P27" si="42">_xlfn.CONCAT(L27,M27)</f>
        <v>D01S03</v>
      </c>
      <c r="Q27" s="58" t="str">
        <f t="shared" ref="Q27" si="43">_xlfn.CONCAT(O27,N27)</f>
        <v>P03V01</v>
      </c>
      <c r="R27" s="58" t="str">
        <f t="shared" ref="R27" si="44">_xlfn.CONCAT(P27,Q27)</f>
        <v>D01S03P03V01</v>
      </c>
      <c r="U27" s="51" t="s">
        <v>151</v>
      </c>
      <c r="V27" s="52" t="s">
        <v>155</v>
      </c>
      <c r="W27" s="51" t="s">
        <v>165</v>
      </c>
      <c r="X27" s="51" t="s">
        <v>157</v>
      </c>
      <c r="Y27" s="51" t="str">
        <f t="shared" si="4"/>
        <v>D01S03</v>
      </c>
      <c r="Z27" s="51" t="str">
        <f t="shared" si="5"/>
        <v>P02V02</v>
      </c>
      <c r="AA27" s="51" t="str">
        <f t="shared" si="6"/>
        <v>D01S03P02V02</v>
      </c>
      <c r="AB27" s="60" t="s">
        <v>170</v>
      </c>
    </row>
    <row r="28" spans="3:28" x14ac:dyDescent="0.25">
      <c r="C28" s="58" t="s">
        <v>151</v>
      </c>
      <c r="D28" s="58" t="s">
        <v>154</v>
      </c>
      <c r="E28" s="58" t="s">
        <v>166</v>
      </c>
      <c r="F28" s="58" t="s">
        <v>158</v>
      </c>
      <c r="G28" s="58" t="s">
        <v>447</v>
      </c>
      <c r="H28" s="58" t="s">
        <v>476</v>
      </c>
      <c r="I28" s="58" t="s">
        <v>513</v>
      </c>
      <c r="J28" s="50"/>
      <c r="K28" s="60"/>
      <c r="L28" s="58" t="str">
        <f t="shared" si="32"/>
        <v>D01</v>
      </c>
      <c r="M28" s="58" t="str">
        <f t="shared" si="32"/>
        <v>S03</v>
      </c>
      <c r="N28" s="58" t="s">
        <v>165</v>
      </c>
      <c r="O28" s="58" t="s">
        <v>157</v>
      </c>
      <c r="P28" s="58" t="str">
        <f>_xlfn.CONCAT(L28,M28)</f>
        <v>D01S03</v>
      </c>
      <c r="Q28" s="58" t="str">
        <f>_xlfn.CONCAT(O28,N28)</f>
        <v>P02V02</v>
      </c>
      <c r="R28" s="58" t="str">
        <f>_xlfn.CONCAT(P28,Q28)</f>
        <v>D01S03P02V02</v>
      </c>
      <c r="U28" s="51" t="s">
        <v>151</v>
      </c>
      <c r="V28" s="51" t="s">
        <v>153</v>
      </c>
      <c r="W28" s="52" t="s">
        <v>164</v>
      </c>
      <c r="X28" s="51" t="s">
        <v>157</v>
      </c>
      <c r="Y28" s="51" t="str">
        <f t="shared" si="4"/>
        <v>D01S01</v>
      </c>
      <c r="Z28" s="51" t="str">
        <f t="shared" si="5"/>
        <v>P02V01</v>
      </c>
      <c r="AA28" s="51" t="str">
        <f t="shared" si="6"/>
        <v>D01S01P02V01</v>
      </c>
      <c r="AB28" s="60" t="s">
        <v>179</v>
      </c>
    </row>
    <row r="29" spans="3:28" x14ac:dyDescent="0.25">
      <c r="C29" s="58" t="s">
        <v>151</v>
      </c>
      <c r="D29" s="58" t="s">
        <v>154</v>
      </c>
      <c r="E29" s="58" t="s">
        <v>161</v>
      </c>
      <c r="F29" s="58" t="s">
        <v>156</v>
      </c>
      <c r="G29" s="58" t="s">
        <v>447</v>
      </c>
      <c r="H29" s="58" t="s">
        <v>441</v>
      </c>
      <c r="I29" s="58" t="s">
        <v>449</v>
      </c>
      <c r="J29" s="50"/>
      <c r="K29" s="60"/>
      <c r="L29" s="58" t="str">
        <f t="shared" si="32"/>
        <v>D01</v>
      </c>
      <c r="M29" s="58" t="str">
        <f t="shared" si="32"/>
        <v>S03</v>
      </c>
      <c r="N29" s="58" t="s">
        <v>165</v>
      </c>
      <c r="O29" s="58" t="s">
        <v>158</v>
      </c>
      <c r="P29" s="58" t="str">
        <f t="shared" ref="P29" si="45">_xlfn.CONCAT(L29,M29)</f>
        <v>D01S03</v>
      </c>
      <c r="Q29" s="58" t="str">
        <f t="shared" ref="Q29" si="46">_xlfn.CONCAT(O29,N29)</f>
        <v>P03V02</v>
      </c>
      <c r="R29" s="58" t="str">
        <f t="shared" ref="R29" si="47">_xlfn.CONCAT(P29,Q29)</f>
        <v>D01S03P03V02</v>
      </c>
      <c r="U29" s="51" t="s">
        <v>151</v>
      </c>
      <c r="V29" s="51" t="s">
        <v>153</v>
      </c>
      <c r="W29" s="52" t="s">
        <v>166</v>
      </c>
      <c r="X29" s="51" t="s">
        <v>157</v>
      </c>
      <c r="Y29" s="51" t="str">
        <f t="shared" si="4"/>
        <v>D01S01</v>
      </c>
      <c r="Z29" s="51" t="str">
        <f t="shared" si="5"/>
        <v>P02V03</v>
      </c>
      <c r="AA29" s="51" t="str">
        <f t="shared" si="6"/>
        <v>D01S01P02V03</v>
      </c>
      <c r="AB29" s="60" t="s">
        <v>172</v>
      </c>
    </row>
    <row r="30" spans="3:28" x14ac:dyDescent="0.25">
      <c r="C30" s="58" t="s">
        <v>151</v>
      </c>
      <c r="D30" s="58" t="s">
        <v>154</v>
      </c>
      <c r="E30" s="58" t="s">
        <v>161</v>
      </c>
      <c r="F30" s="58" t="s">
        <v>157</v>
      </c>
      <c r="G30" s="58" t="s">
        <v>447</v>
      </c>
      <c r="H30" s="58" t="s">
        <v>478</v>
      </c>
      <c r="I30" s="58" t="s">
        <v>514</v>
      </c>
      <c r="J30" s="50"/>
      <c r="K30" s="60"/>
      <c r="L30" s="58" t="str">
        <f t="shared" si="32"/>
        <v>D01</v>
      </c>
      <c r="M30" s="58" t="str">
        <f t="shared" si="32"/>
        <v>S03</v>
      </c>
      <c r="N30" s="58" t="s">
        <v>166</v>
      </c>
      <c r="O30" s="58" t="s">
        <v>157</v>
      </c>
      <c r="P30" s="58" t="str">
        <f>_xlfn.CONCAT(L30,M30)</f>
        <v>D01S03</v>
      </c>
      <c r="Q30" s="58" t="str">
        <f>_xlfn.CONCAT(O30,N30)</f>
        <v>P02V03</v>
      </c>
      <c r="R30" s="58" t="str">
        <f>_xlfn.CONCAT(P30,Q30)</f>
        <v>D01S03P02V03</v>
      </c>
      <c r="U30" s="51" t="s">
        <v>151</v>
      </c>
      <c r="V30" s="51" t="s">
        <v>153</v>
      </c>
      <c r="W30" s="52" t="s">
        <v>161</v>
      </c>
      <c r="X30" s="51" t="s">
        <v>157</v>
      </c>
      <c r="Y30" s="51" t="str">
        <f t="shared" si="4"/>
        <v>D01S01</v>
      </c>
      <c r="Z30" s="51" t="str">
        <f t="shared" si="5"/>
        <v>P02V04</v>
      </c>
      <c r="AA30" s="51" t="str">
        <f t="shared" si="6"/>
        <v>D01S01P02V04</v>
      </c>
      <c r="AB30" s="60" t="s">
        <v>173</v>
      </c>
    </row>
    <row r="31" spans="3:28" x14ac:dyDescent="0.25">
      <c r="C31" s="58" t="s">
        <v>151</v>
      </c>
      <c r="D31" s="58" t="s">
        <v>154</v>
      </c>
      <c r="E31" s="58" t="s">
        <v>161</v>
      </c>
      <c r="F31" s="58" t="s">
        <v>158</v>
      </c>
      <c r="G31" s="58" t="s">
        <v>447</v>
      </c>
      <c r="H31" s="58" t="s">
        <v>480</v>
      </c>
      <c r="I31" s="58" t="s">
        <v>515</v>
      </c>
      <c r="J31" s="50"/>
      <c r="K31" s="60"/>
      <c r="L31" s="58" t="str">
        <f t="shared" si="32"/>
        <v>D01</v>
      </c>
      <c r="M31" s="58" t="str">
        <f t="shared" si="32"/>
        <v>S03</v>
      </c>
      <c r="N31" s="58" t="s">
        <v>166</v>
      </c>
      <c r="O31" s="58" t="s">
        <v>158</v>
      </c>
      <c r="P31" s="58" t="str">
        <f t="shared" ref="P31" si="48">_xlfn.CONCAT(L31,M31)</f>
        <v>D01S03</v>
      </c>
      <c r="Q31" s="58" t="str">
        <f t="shared" ref="Q31" si="49">_xlfn.CONCAT(O31,N31)</f>
        <v>P03V03</v>
      </c>
      <c r="R31" s="58" t="str">
        <f t="shared" ref="R31" si="50">_xlfn.CONCAT(P31,Q31)</f>
        <v>D01S03P03V03</v>
      </c>
      <c r="U31" s="51" t="s">
        <v>151</v>
      </c>
      <c r="V31" s="51" t="s">
        <v>153</v>
      </c>
      <c r="W31" s="52" t="s">
        <v>162</v>
      </c>
      <c r="X31" s="51" t="s">
        <v>157</v>
      </c>
      <c r="Y31" s="51" t="str">
        <f t="shared" si="4"/>
        <v>D01S01</v>
      </c>
      <c r="Z31" s="51" t="str">
        <f t="shared" si="5"/>
        <v>P02V05</v>
      </c>
      <c r="AA31" s="51" t="str">
        <f t="shared" si="6"/>
        <v>D01S01P02V05</v>
      </c>
      <c r="AB31" s="60" t="s">
        <v>174</v>
      </c>
    </row>
    <row r="32" spans="3:28" x14ac:dyDescent="0.25">
      <c r="C32" s="58" t="s">
        <v>151</v>
      </c>
      <c r="D32" s="58" t="s">
        <v>154</v>
      </c>
      <c r="E32" s="58" t="s">
        <v>162</v>
      </c>
      <c r="F32" s="58" t="s">
        <v>156</v>
      </c>
      <c r="G32" s="58" t="s">
        <v>447</v>
      </c>
      <c r="H32" s="58" t="s">
        <v>443</v>
      </c>
      <c r="I32" s="58" t="s">
        <v>516</v>
      </c>
      <c r="J32" s="50"/>
      <c r="K32" s="60"/>
      <c r="L32" s="58" t="str">
        <f t="shared" si="32"/>
        <v>D01</v>
      </c>
      <c r="M32" s="58" t="str">
        <f t="shared" si="32"/>
        <v>S03</v>
      </c>
      <c r="N32" s="58" t="s">
        <v>161</v>
      </c>
      <c r="O32" s="58" t="s">
        <v>157</v>
      </c>
      <c r="P32" s="58" t="str">
        <f>_xlfn.CONCAT(L32,M32)</f>
        <v>D01S03</v>
      </c>
      <c r="Q32" s="58" t="str">
        <f>_xlfn.CONCAT(O32,N32)</f>
        <v>P02V04</v>
      </c>
      <c r="R32" s="58" t="str">
        <f>_xlfn.CONCAT(P32,Q32)</f>
        <v>D01S03P02V04</v>
      </c>
      <c r="U32" s="51" t="s">
        <v>151</v>
      </c>
      <c r="V32" s="51" t="s">
        <v>153</v>
      </c>
      <c r="W32" s="52" t="s">
        <v>163</v>
      </c>
      <c r="X32" s="51" t="s">
        <v>157</v>
      </c>
      <c r="Y32" s="51" t="str">
        <f t="shared" si="4"/>
        <v>D01S01</v>
      </c>
      <c r="Z32" s="51" t="str">
        <f t="shared" si="5"/>
        <v>P02V06</v>
      </c>
      <c r="AA32" s="51" t="str">
        <f t="shared" si="6"/>
        <v>D01S01P02V06</v>
      </c>
      <c r="AB32" s="60" t="s">
        <v>175</v>
      </c>
    </row>
    <row r="33" spans="3:28" x14ac:dyDescent="0.25">
      <c r="C33" s="58" t="s">
        <v>151</v>
      </c>
      <c r="D33" s="58" t="s">
        <v>154</v>
      </c>
      <c r="E33" s="58" t="s">
        <v>162</v>
      </c>
      <c r="F33" s="58" t="s">
        <v>157</v>
      </c>
      <c r="G33" s="58" t="s">
        <v>447</v>
      </c>
      <c r="H33" s="58" t="s">
        <v>482</v>
      </c>
      <c r="I33" s="58" t="s">
        <v>517</v>
      </c>
      <c r="J33" s="50"/>
      <c r="K33" s="60"/>
      <c r="L33" s="58" t="str">
        <f t="shared" si="32"/>
        <v>D01</v>
      </c>
      <c r="M33" s="58" t="str">
        <f t="shared" si="32"/>
        <v>S03</v>
      </c>
      <c r="N33" s="58" t="s">
        <v>161</v>
      </c>
      <c r="O33" s="58" t="s">
        <v>158</v>
      </c>
      <c r="P33" s="58" t="str">
        <f t="shared" ref="P33" si="51">_xlfn.CONCAT(L33,M33)</f>
        <v>D01S03</v>
      </c>
      <c r="Q33" s="58" t="str">
        <f t="shared" ref="Q33" si="52">_xlfn.CONCAT(O33,N33)</f>
        <v>P03V04</v>
      </c>
      <c r="R33" s="58" t="str">
        <f t="shared" ref="R33" si="53">_xlfn.CONCAT(P33,Q33)</f>
        <v>D01S03P03V04</v>
      </c>
      <c r="U33" s="51" t="s">
        <v>151</v>
      </c>
      <c r="V33" s="51" t="s">
        <v>153</v>
      </c>
      <c r="W33" s="51" t="s">
        <v>165</v>
      </c>
      <c r="X33" s="51" t="s">
        <v>158</v>
      </c>
      <c r="Y33" s="51" t="str">
        <f t="shared" si="4"/>
        <v>D01S01</v>
      </c>
      <c r="Z33" s="51" t="str">
        <f t="shared" si="5"/>
        <v>P03V02</v>
      </c>
      <c r="AA33" s="51" t="str">
        <f t="shared" si="6"/>
        <v>D01S01P03V02</v>
      </c>
      <c r="AB33" s="60" t="s">
        <v>177</v>
      </c>
    </row>
    <row r="34" spans="3:28" x14ac:dyDescent="0.25">
      <c r="C34" s="58" t="s">
        <v>151</v>
      </c>
      <c r="D34" s="58" t="s">
        <v>154</v>
      </c>
      <c r="E34" s="58" t="s">
        <v>162</v>
      </c>
      <c r="F34" s="58" t="s">
        <v>158</v>
      </c>
      <c r="G34" s="58" t="s">
        <v>447</v>
      </c>
      <c r="H34" s="58" t="s">
        <v>484</v>
      </c>
      <c r="I34" s="58" t="s">
        <v>518</v>
      </c>
      <c r="J34" s="50"/>
      <c r="K34" s="60"/>
      <c r="L34" s="58" t="str">
        <f t="shared" si="32"/>
        <v>D01</v>
      </c>
      <c r="M34" s="58" t="str">
        <f t="shared" si="32"/>
        <v>S03</v>
      </c>
      <c r="N34" s="58" t="s">
        <v>162</v>
      </c>
      <c r="O34" s="58" t="s">
        <v>157</v>
      </c>
      <c r="P34" s="58" t="str">
        <f>_xlfn.CONCAT(L34,M34)</f>
        <v>D01S03</v>
      </c>
      <c r="Q34" s="58" t="str">
        <f>_xlfn.CONCAT(O34,N34)</f>
        <v>P02V05</v>
      </c>
      <c r="R34" s="58" t="str">
        <f>_xlfn.CONCAT(P34,Q34)</f>
        <v>D01S03P02V05</v>
      </c>
      <c r="U34" s="51" t="s">
        <v>151</v>
      </c>
      <c r="V34" s="51" t="s">
        <v>153</v>
      </c>
      <c r="W34" s="51" t="s">
        <v>165</v>
      </c>
      <c r="X34" s="51" t="s">
        <v>156</v>
      </c>
      <c r="Y34" s="51" t="str">
        <f t="shared" si="4"/>
        <v>D01S01</v>
      </c>
      <c r="Z34" s="51" t="str">
        <f t="shared" si="5"/>
        <v>P01V02</v>
      </c>
      <c r="AA34" s="51" t="str">
        <f t="shared" si="6"/>
        <v>D01S01P01V02</v>
      </c>
      <c r="AB34" s="60" t="s">
        <v>180</v>
      </c>
    </row>
    <row r="35" spans="3:28" s="50" customFormat="1" x14ac:dyDescent="0.25">
      <c r="C35" s="58" t="s">
        <v>151</v>
      </c>
      <c r="D35" s="58" t="s">
        <v>154</v>
      </c>
      <c r="E35" s="58" t="s">
        <v>163</v>
      </c>
      <c r="F35" s="58" t="s">
        <v>156</v>
      </c>
      <c r="G35" s="58" t="s">
        <v>447</v>
      </c>
      <c r="H35" s="58" t="s">
        <v>445</v>
      </c>
      <c r="I35" s="58" t="s">
        <v>519</v>
      </c>
      <c r="K35" s="59"/>
      <c r="L35" s="58" t="str">
        <f t="shared" si="32"/>
        <v>D01</v>
      </c>
      <c r="M35" s="58" t="str">
        <f t="shared" si="32"/>
        <v>S03</v>
      </c>
      <c r="N35" s="58" t="s">
        <v>162</v>
      </c>
      <c r="O35" s="58" t="s">
        <v>158</v>
      </c>
      <c r="P35" s="58" t="str">
        <f t="shared" ref="P35" si="54">_xlfn.CONCAT(L35,M35)</f>
        <v>D01S03</v>
      </c>
      <c r="Q35" s="58" t="str">
        <f t="shared" ref="Q35" si="55">_xlfn.CONCAT(O35,N35)</f>
        <v>P03V05</v>
      </c>
      <c r="R35" s="58" t="str">
        <f t="shared" ref="R35" si="56">_xlfn.CONCAT(P35,Q35)</f>
        <v>D01S03P03V05</v>
      </c>
      <c r="U35" s="51" t="s">
        <v>151</v>
      </c>
      <c r="V35" s="51" t="s">
        <v>153</v>
      </c>
      <c r="W35" s="51" t="s">
        <v>164</v>
      </c>
      <c r="X35" s="51" t="s">
        <v>159</v>
      </c>
      <c r="Y35" s="51" t="str">
        <f t="shared" si="4"/>
        <v>D01S01</v>
      </c>
      <c r="Z35" s="51" t="str">
        <f>_xlfn.CONCAT(X35)</f>
        <v>P04</v>
      </c>
      <c r="AA35" s="51" t="str">
        <f t="shared" si="6"/>
        <v>D01S01P04</v>
      </c>
      <c r="AB35" s="59" t="s">
        <v>182</v>
      </c>
    </row>
    <row r="36" spans="3:28" x14ac:dyDescent="0.25">
      <c r="C36" s="58" t="s">
        <v>151</v>
      </c>
      <c r="D36" s="58" t="s">
        <v>154</v>
      </c>
      <c r="E36" s="58" t="s">
        <v>163</v>
      </c>
      <c r="F36" s="58" t="s">
        <v>157</v>
      </c>
      <c r="G36" s="58" t="s">
        <v>447</v>
      </c>
      <c r="H36" s="58" t="s">
        <v>486</v>
      </c>
      <c r="I36" s="58" t="s">
        <v>520</v>
      </c>
      <c r="J36" s="50"/>
      <c r="K36" s="60"/>
      <c r="L36" s="58" t="str">
        <f t="shared" ref="L36:M37" si="57">+L35</f>
        <v>D01</v>
      </c>
      <c r="M36" s="58" t="str">
        <f t="shared" si="57"/>
        <v>S03</v>
      </c>
      <c r="N36" s="58" t="s">
        <v>163</v>
      </c>
      <c r="O36" s="58" t="s">
        <v>157</v>
      </c>
      <c r="P36" s="58" t="str">
        <f>_xlfn.CONCAT(L36,M36)</f>
        <v>D01S03</v>
      </c>
      <c r="Q36" s="58" t="str">
        <f>_xlfn.CONCAT(O36,N36)</f>
        <v>P02V06</v>
      </c>
      <c r="R36" s="58" t="str">
        <f>_xlfn.CONCAT(P36,Q36)</f>
        <v>D01S03P02V06</v>
      </c>
      <c r="U36" s="52" t="s">
        <v>152</v>
      </c>
      <c r="V36" s="51" t="s">
        <v>153</v>
      </c>
      <c r="W36" s="51" t="s">
        <v>164</v>
      </c>
      <c r="X36" s="51" t="s">
        <v>159</v>
      </c>
      <c r="Y36" s="51" t="str">
        <f t="shared" si="4"/>
        <v>D02S01</v>
      </c>
      <c r="Z36" s="51" t="str">
        <f>_xlfn.CONCAT(X36)</f>
        <v>P04</v>
      </c>
      <c r="AA36" s="51" t="str">
        <f t="shared" si="6"/>
        <v>D02S01P04</v>
      </c>
      <c r="AB36" s="60" t="s">
        <v>168</v>
      </c>
    </row>
    <row r="37" spans="3:28" x14ac:dyDescent="0.25">
      <c r="C37" s="58" t="s">
        <v>151</v>
      </c>
      <c r="D37" s="58" t="s">
        <v>154</v>
      </c>
      <c r="E37" s="58" t="s">
        <v>163</v>
      </c>
      <c r="F37" s="58" t="s">
        <v>158</v>
      </c>
      <c r="G37" s="58" t="s">
        <v>447</v>
      </c>
      <c r="H37" s="58" t="s">
        <v>488</v>
      </c>
      <c r="I37" s="58" t="s">
        <v>521</v>
      </c>
      <c r="J37" s="50"/>
      <c r="K37" s="60"/>
      <c r="L37" s="58" t="str">
        <f t="shared" si="57"/>
        <v>D01</v>
      </c>
      <c r="M37" s="58" t="str">
        <f t="shared" si="57"/>
        <v>S03</v>
      </c>
      <c r="N37" s="58" t="s">
        <v>163</v>
      </c>
      <c r="O37" s="58" t="s">
        <v>158</v>
      </c>
      <c r="P37" s="58" t="str">
        <f t="shared" ref="P37" si="58">_xlfn.CONCAT(L37,M37)</f>
        <v>D01S03</v>
      </c>
      <c r="Q37" s="58" t="str">
        <f t="shared" ref="Q37" si="59">_xlfn.CONCAT(O37,N37)</f>
        <v>P03V06</v>
      </c>
      <c r="R37" s="58" t="str">
        <f t="shared" ref="R37" si="60">_xlfn.CONCAT(P37,Q37)</f>
        <v>D01S03P03V06</v>
      </c>
      <c r="U37" s="51" t="s">
        <v>151</v>
      </c>
      <c r="V37" s="52" t="s">
        <v>154</v>
      </c>
      <c r="W37" s="51" t="s">
        <v>164</v>
      </c>
      <c r="X37" s="51" t="s">
        <v>159</v>
      </c>
      <c r="Y37" s="51" t="str">
        <f t="shared" si="4"/>
        <v>D01S02</v>
      </c>
      <c r="Z37" s="51" t="str">
        <f>_xlfn.CONCAT(X37)</f>
        <v>P04</v>
      </c>
      <c r="AA37" s="51" t="str">
        <f t="shared" si="6"/>
        <v>D01S02P04</v>
      </c>
      <c r="AB37" s="60" t="s">
        <v>169</v>
      </c>
    </row>
    <row r="38" spans="3:28" x14ac:dyDescent="0.25">
      <c r="C38" s="58" t="s">
        <v>151</v>
      </c>
      <c r="D38" s="58" t="s">
        <v>155</v>
      </c>
      <c r="E38" s="58" t="s">
        <v>164</v>
      </c>
      <c r="F38" s="58" t="s">
        <v>156</v>
      </c>
      <c r="G38" s="58" t="s">
        <v>450</v>
      </c>
      <c r="H38" s="58" t="s">
        <v>436</v>
      </c>
      <c r="I38" s="58" t="s">
        <v>451</v>
      </c>
      <c r="J38" s="50"/>
      <c r="K38" s="60"/>
      <c r="L38" s="58" t="s">
        <v>152</v>
      </c>
      <c r="M38" s="58" t="s">
        <v>153</v>
      </c>
      <c r="N38" s="58" t="s">
        <v>164</v>
      </c>
      <c r="O38" s="58" t="s">
        <v>157</v>
      </c>
      <c r="P38" s="58" t="str">
        <f>_xlfn.CONCAT(L38,M38)</f>
        <v>D02S01</v>
      </c>
      <c r="Q38" s="58" t="str">
        <f>_xlfn.CONCAT(O38,N38)</f>
        <v>P02V01</v>
      </c>
      <c r="R38" s="58" t="str">
        <f>_xlfn.CONCAT(P38,Q38)</f>
        <v>D02S01P02V01</v>
      </c>
      <c r="U38" s="51" t="s">
        <v>151</v>
      </c>
      <c r="V38" s="52" t="s">
        <v>155</v>
      </c>
      <c r="W38" s="51" t="s">
        <v>164</v>
      </c>
      <c r="X38" s="51" t="s">
        <v>159</v>
      </c>
      <c r="Y38" s="51" t="str">
        <f t="shared" si="4"/>
        <v>D01S03</v>
      </c>
      <c r="Z38" s="51" t="str">
        <f>_xlfn.CONCAT(X38)</f>
        <v>P04</v>
      </c>
      <c r="AA38" s="51" t="str">
        <f t="shared" si="6"/>
        <v>D01S03P04</v>
      </c>
      <c r="AB38" s="60" t="s">
        <v>170</v>
      </c>
    </row>
    <row r="39" spans="3:28" x14ac:dyDescent="0.25">
      <c r="C39" s="58" t="s">
        <v>151</v>
      </c>
      <c r="D39" s="58" t="s">
        <v>155</v>
      </c>
      <c r="E39" s="58" t="s">
        <v>164</v>
      </c>
      <c r="F39" s="58" t="s">
        <v>157</v>
      </c>
      <c r="G39" s="58" t="s">
        <v>450</v>
      </c>
      <c r="H39" s="58" t="s">
        <v>467</v>
      </c>
      <c r="I39" s="58" t="s">
        <v>522</v>
      </c>
      <c r="J39" s="50"/>
      <c r="L39" s="58" t="str">
        <f>+L38</f>
        <v>D02</v>
      </c>
      <c r="M39" s="58" t="str">
        <f t="shared" ref="M39:M49" si="61">+M38</f>
        <v>S01</v>
      </c>
      <c r="N39" s="58" t="s">
        <v>164</v>
      </c>
      <c r="O39" s="58" t="s">
        <v>158</v>
      </c>
      <c r="P39" s="58" t="str">
        <f t="shared" ref="P39" si="62">_xlfn.CONCAT(L39,M39)</f>
        <v>D02S01</v>
      </c>
      <c r="Q39" s="58" t="str">
        <f t="shared" ref="Q39" si="63">_xlfn.CONCAT(O39,N39)</f>
        <v>P03V01</v>
      </c>
      <c r="R39" s="58" t="str">
        <f t="shared" ref="R39" si="64">_xlfn.CONCAT(P39,Q39)</f>
        <v>D02S01P03V01</v>
      </c>
    </row>
    <row r="40" spans="3:28" x14ac:dyDescent="0.25">
      <c r="C40" s="58" t="s">
        <v>151</v>
      </c>
      <c r="D40" s="58" t="s">
        <v>155</v>
      </c>
      <c r="E40" s="58" t="s">
        <v>164</v>
      </c>
      <c r="F40" s="58" t="s">
        <v>158</v>
      </c>
      <c r="G40" s="58" t="s">
        <v>450</v>
      </c>
      <c r="H40" s="58" t="s">
        <v>469</v>
      </c>
      <c r="I40" s="58" t="s">
        <v>523</v>
      </c>
      <c r="J40" s="50"/>
      <c r="L40" s="58" t="str">
        <f t="shared" ref="L40:M55" si="65">+L39</f>
        <v>D02</v>
      </c>
      <c r="M40" s="58" t="str">
        <f t="shared" si="61"/>
        <v>S01</v>
      </c>
      <c r="N40" s="58" t="s">
        <v>165</v>
      </c>
      <c r="O40" s="58" t="s">
        <v>157</v>
      </c>
      <c r="P40" s="58" t="str">
        <f>_xlfn.CONCAT(L40,M40)</f>
        <v>D02S01</v>
      </c>
      <c r="Q40" s="58" t="str">
        <f>_xlfn.CONCAT(O40,N40)</f>
        <v>P02V02</v>
      </c>
      <c r="R40" s="58" t="str">
        <f>_xlfn.CONCAT(P40,Q40)</f>
        <v>D02S01P02V02</v>
      </c>
    </row>
    <row r="41" spans="3:28" x14ac:dyDescent="0.25">
      <c r="C41" s="58" t="s">
        <v>151</v>
      </c>
      <c r="D41" s="58" t="s">
        <v>155</v>
      </c>
      <c r="E41" s="58" t="s">
        <v>165</v>
      </c>
      <c r="F41" s="58" t="s">
        <v>156</v>
      </c>
      <c r="G41" s="58" t="s">
        <v>450</v>
      </c>
      <c r="H41" s="58" t="s">
        <v>437</v>
      </c>
      <c r="I41" s="58" t="s">
        <v>524</v>
      </c>
      <c r="J41" s="50"/>
      <c r="L41" s="58" t="str">
        <f t="shared" si="65"/>
        <v>D02</v>
      </c>
      <c r="M41" s="58" t="str">
        <f t="shared" si="61"/>
        <v>S01</v>
      </c>
      <c r="N41" s="58" t="s">
        <v>165</v>
      </c>
      <c r="O41" s="58" t="s">
        <v>158</v>
      </c>
      <c r="P41" s="58" t="str">
        <f t="shared" ref="P41" si="66">_xlfn.CONCAT(L41,M41)</f>
        <v>D02S01</v>
      </c>
      <c r="Q41" s="58" t="str">
        <f t="shared" ref="Q41" si="67">_xlfn.CONCAT(O41,N41)</f>
        <v>P03V02</v>
      </c>
      <c r="R41" s="58" t="str">
        <f t="shared" ref="R41" si="68">_xlfn.CONCAT(P41,Q41)</f>
        <v>D02S01P03V02</v>
      </c>
    </row>
    <row r="42" spans="3:28" x14ac:dyDescent="0.25">
      <c r="C42" s="58" t="s">
        <v>151</v>
      </c>
      <c r="D42" s="58" t="s">
        <v>155</v>
      </c>
      <c r="E42" s="58" t="s">
        <v>165</v>
      </c>
      <c r="F42" s="58" t="s">
        <v>157</v>
      </c>
      <c r="G42" s="58" t="s">
        <v>450</v>
      </c>
      <c r="H42" s="58" t="s">
        <v>471</v>
      </c>
      <c r="I42" s="58" t="s">
        <v>525</v>
      </c>
      <c r="J42" s="50"/>
      <c r="L42" s="58" t="str">
        <f t="shared" si="65"/>
        <v>D02</v>
      </c>
      <c r="M42" s="58" t="str">
        <f t="shared" si="61"/>
        <v>S01</v>
      </c>
      <c r="N42" s="58" t="s">
        <v>166</v>
      </c>
      <c r="O42" s="58" t="s">
        <v>157</v>
      </c>
      <c r="P42" s="58" t="str">
        <f>_xlfn.CONCAT(L42,M42)</f>
        <v>D02S01</v>
      </c>
      <c r="Q42" s="58" t="str">
        <f>_xlfn.CONCAT(O42,N42)</f>
        <v>P02V03</v>
      </c>
      <c r="R42" s="58" t="str">
        <f>_xlfn.CONCAT(P42,Q42)</f>
        <v>D02S01P02V03</v>
      </c>
    </row>
    <row r="43" spans="3:28" x14ac:dyDescent="0.25">
      <c r="C43" s="58" t="s">
        <v>151</v>
      </c>
      <c r="D43" s="58" t="s">
        <v>155</v>
      </c>
      <c r="E43" s="58" t="s">
        <v>165</v>
      </c>
      <c r="F43" s="58" t="s">
        <v>158</v>
      </c>
      <c r="G43" s="58" t="s">
        <v>450</v>
      </c>
      <c r="H43" s="58" t="s">
        <v>472</v>
      </c>
      <c r="I43" s="58" t="s">
        <v>526</v>
      </c>
      <c r="J43" s="50"/>
      <c r="L43" s="58" t="str">
        <f t="shared" si="65"/>
        <v>D02</v>
      </c>
      <c r="M43" s="58" t="str">
        <f t="shared" si="61"/>
        <v>S01</v>
      </c>
      <c r="N43" s="58" t="s">
        <v>166</v>
      </c>
      <c r="O43" s="58" t="s">
        <v>158</v>
      </c>
      <c r="P43" s="58" t="str">
        <f t="shared" ref="P43" si="69">_xlfn.CONCAT(L43,M43)</f>
        <v>D02S01</v>
      </c>
      <c r="Q43" s="58" t="str">
        <f t="shared" ref="Q43" si="70">_xlfn.CONCAT(O43,N43)</f>
        <v>P03V03</v>
      </c>
      <c r="R43" s="58" t="str">
        <f t="shared" ref="R43" si="71">_xlfn.CONCAT(P43,Q43)</f>
        <v>D02S01P03V03</v>
      </c>
    </row>
    <row r="44" spans="3:28" x14ac:dyDescent="0.25">
      <c r="C44" s="58" t="s">
        <v>151</v>
      </c>
      <c r="D44" s="58" t="s">
        <v>155</v>
      </c>
      <c r="E44" s="58" t="s">
        <v>166</v>
      </c>
      <c r="F44" s="58" t="s">
        <v>156</v>
      </c>
      <c r="G44" s="58" t="s">
        <v>450</v>
      </c>
      <c r="H44" s="58" t="s">
        <v>439</v>
      </c>
      <c r="I44" s="58" t="s">
        <v>527</v>
      </c>
      <c r="J44" s="50"/>
      <c r="L44" s="58" t="str">
        <f t="shared" si="65"/>
        <v>D02</v>
      </c>
      <c r="M44" s="58" t="str">
        <f t="shared" si="61"/>
        <v>S01</v>
      </c>
      <c r="N44" s="58" t="s">
        <v>161</v>
      </c>
      <c r="O44" s="58" t="s">
        <v>157</v>
      </c>
      <c r="P44" s="58" t="str">
        <f>_xlfn.CONCAT(L44,M44)</f>
        <v>D02S01</v>
      </c>
      <c r="Q44" s="58" t="str">
        <f>_xlfn.CONCAT(O44,N44)</f>
        <v>P02V04</v>
      </c>
      <c r="R44" s="58" t="str">
        <f>_xlfn.CONCAT(P44,Q44)</f>
        <v>D02S01P02V04</v>
      </c>
    </row>
    <row r="45" spans="3:28" x14ac:dyDescent="0.25">
      <c r="C45" s="58" t="s">
        <v>151</v>
      </c>
      <c r="D45" s="58" t="s">
        <v>155</v>
      </c>
      <c r="E45" s="58" t="s">
        <v>166</v>
      </c>
      <c r="F45" s="58" t="s">
        <v>157</v>
      </c>
      <c r="G45" s="58" t="s">
        <v>450</v>
      </c>
      <c r="H45" s="58" t="s">
        <v>474</v>
      </c>
      <c r="I45" s="58" t="s">
        <v>528</v>
      </c>
      <c r="J45" s="50"/>
      <c r="L45" s="58" t="str">
        <f t="shared" si="65"/>
        <v>D02</v>
      </c>
      <c r="M45" s="58" t="str">
        <f t="shared" si="61"/>
        <v>S01</v>
      </c>
      <c r="N45" s="58" t="s">
        <v>161</v>
      </c>
      <c r="O45" s="58" t="s">
        <v>158</v>
      </c>
      <c r="P45" s="58" t="str">
        <f t="shared" ref="P45" si="72">_xlfn.CONCAT(L45,M45)</f>
        <v>D02S01</v>
      </c>
      <c r="Q45" s="58" t="str">
        <f t="shared" ref="Q45" si="73">_xlfn.CONCAT(O45,N45)</f>
        <v>P03V04</v>
      </c>
      <c r="R45" s="58" t="str">
        <f t="shared" ref="R45" si="74">_xlfn.CONCAT(P45,Q45)</f>
        <v>D02S01P03V04</v>
      </c>
      <c r="U45" s="58" t="s">
        <v>423</v>
      </c>
      <c r="V45" s="58" t="s">
        <v>151</v>
      </c>
      <c r="W45" s="58" t="s">
        <v>153</v>
      </c>
      <c r="X45" s="58" t="s">
        <v>164</v>
      </c>
      <c r="Y45" s="58" t="s">
        <v>156</v>
      </c>
      <c r="Z45" s="58" t="s">
        <v>427</v>
      </c>
      <c r="AA45" s="58" t="s">
        <v>428</v>
      </c>
      <c r="AB45" s="50" t="s">
        <v>429</v>
      </c>
    </row>
    <row r="46" spans="3:28" x14ac:dyDescent="0.25">
      <c r="C46" s="58" t="s">
        <v>151</v>
      </c>
      <c r="D46" s="58" t="s">
        <v>155</v>
      </c>
      <c r="E46" s="58" t="s">
        <v>166</v>
      </c>
      <c r="F46" s="58" t="s">
        <v>158</v>
      </c>
      <c r="G46" s="58" t="s">
        <v>450</v>
      </c>
      <c r="H46" s="58" t="s">
        <v>476</v>
      </c>
      <c r="I46" s="58" t="s">
        <v>529</v>
      </c>
      <c r="J46" s="50"/>
      <c r="L46" s="58" t="str">
        <f t="shared" si="65"/>
        <v>D02</v>
      </c>
      <c r="M46" s="58" t="str">
        <f t="shared" si="61"/>
        <v>S01</v>
      </c>
      <c r="N46" s="58" t="s">
        <v>162</v>
      </c>
      <c r="O46" s="58" t="s">
        <v>157</v>
      </c>
      <c r="P46" s="58" t="str">
        <f>_xlfn.CONCAT(L46,M46)</f>
        <v>D02S01</v>
      </c>
      <c r="Q46" s="58" t="str">
        <f>_xlfn.CONCAT(O46,N46)</f>
        <v>P02V05</v>
      </c>
      <c r="R46" s="58" t="str">
        <f>_xlfn.CONCAT(P46,Q46)</f>
        <v>D02S01P02V05</v>
      </c>
      <c r="U46" s="58" t="s">
        <v>424</v>
      </c>
      <c r="V46" s="58" t="s">
        <v>151</v>
      </c>
      <c r="W46" s="58" t="s">
        <v>153</v>
      </c>
      <c r="X46" s="58" t="s">
        <v>165</v>
      </c>
      <c r="Y46" s="58" t="s">
        <v>157</v>
      </c>
      <c r="Z46" s="58" t="s">
        <v>430</v>
      </c>
      <c r="AA46" s="58" t="s">
        <v>428</v>
      </c>
      <c r="AB46" t="s">
        <v>429</v>
      </c>
    </row>
    <row r="47" spans="3:28" x14ac:dyDescent="0.25">
      <c r="C47" s="58" t="s">
        <v>151</v>
      </c>
      <c r="D47" s="58" t="s">
        <v>155</v>
      </c>
      <c r="E47" s="58" t="s">
        <v>161</v>
      </c>
      <c r="F47" s="58" t="s">
        <v>156</v>
      </c>
      <c r="G47" s="58" t="s">
        <v>450</v>
      </c>
      <c r="H47" s="58" t="s">
        <v>441</v>
      </c>
      <c r="I47" s="58" t="s">
        <v>452</v>
      </c>
      <c r="J47" s="50"/>
      <c r="L47" s="58" t="str">
        <f t="shared" si="65"/>
        <v>D02</v>
      </c>
      <c r="M47" s="58" t="str">
        <f t="shared" si="61"/>
        <v>S01</v>
      </c>
      <c r="N47" s="58" t="s">
        <v>162</v>
      </c>
      <c r="O47" s="58" t="s">
        <v>158</v>
      </c>
      <c r="P47" s="58" t="str">
        <f t="shared" ref="P47" si="75">_xlfn.CONCAT(L47,M47)</f>
        <v>D02S01</v>
      </c>
      <c r="Q47" s="58" t="str">
        <f t="shared" ref="Q47" si="76">_xlfn.CONCAT(O47,N47)</f>
        <v>P03V05</v>
      </c>
      <c r="R47" s="58" t="str">
        <f t="shared" ref="R47" si="77">_xlfn.CONCAT(P47,Q47)</f>
        <v>D02S01P03V05</v>
      </c>
      <c r="U47" s="58" t="s">
        <v>425</v>
      </c>
      <c r="V47" s="58" t="s">
        <v>151</v>
      </c>
      <c r="W47" s="58" t="s">
        <v>153</v>
      </c>
      <c r="X47" s="58" t="s">
        <v>164</v>
      </c>
      <c r="Y47" s="58" t="s">
        <v>159</v>
      </c>
      <c r="Z47" s="58" t="s">
        <v>431</v>
      </c>
      <c r="AA47" s="58" t="s">
        <v>428</v>
      </c>
      <c r="AB47" t="s">
        <v>429</v>
      </c>
    </row>
    <row r="48" spans="3:28" x14ac:dyDescent="0.25">
      <c r="C48" s="58" t="s">
        <v>151</v>
      </c>
      <c r="D48" s="58" t="s">
        <v>155</v>
      </c>
      <c r="E48" s="58" t="s">
        <v>161</v>
      </c>
      <c r="F48" s="58" t="s">
        <v>157</v>
      </c>
      <c r="G48" s="58" t="s">
        <v>450</v>
      </c>
      <c r="H48" s="58" t="s">
        <v>478</v>
      </c>
      <c r="I48" s="58" t="s">
        <v>530</v>
      </c>
      <c r="J48" s="50"/>
      <c r="L48" s="58" t="str">
        <f t="shared" si="65"/>
        <v>D02</v>
      </c>
      <c r="M48" s="58" t="str">
        <f t="shared" si="61"/>
        <v>S01</v>
      </c>
      <c r="N48" s="58" t="s">
        <v>163</v>
      </c>
      <c r="O48" s="58" t="s">
        <v>157</v>
      </c>
      <c r="P48" s="58" t="str">
        <f>_xlfn.CONCAT(L48,M48)</f>
        <v>D02S01</v>
      </c>
      <c r="Q48" s="58" t="str">
        <f>_xlfn.CONCAT(O48,N48)</f>
        <v>P02V06</v>
      </c>
      <c r="R48" s="58" t="str">
        <f>_xlfn.CONCAT(P48,Q48)</f>
        <v>D02S01P02V06</v>
      </c>
      <c r="U48" s="58" t="s">
        <v>426</v>
      </c>
      <c r="V48" s="58" t="s">
        <v>151</v>
      </c>
      <c r="W48" s="58" t="s">
        <v>153</v>
      </c>
      <c r="X48" s="58" t="s">
        <v>164</v>
      </c>
      <c r="Y48" s="58" t="s">
        <v>422</v>
      </c>
      <c r="Z48" s="58" t="s">
        <v>432</v>
      </c>
      <c r="AA48" s="58" t="s">
        <v>428</v>
      </c>
      <c r="AB48" t="s">
        <v>429</v>
      </c>
    </row>
    <row r="49" spans="3:18" x14ac:dyDescent="0.25">
      <c r="C49" s="58" t="s">
        <v>151</v>
      </c>
      <c r="D49" s="58" t="s">
        <v>155</v>
      </c>
      <c r="E49" s="58" t="s">
        <v>161</v>
      </c>
      <c r="F49" s="58" t="s">
        <v>158</v>
      </c>
      <c r="G49" s="58" t="s">
        <v>450</v>
      </c>
      <c r="H49" s="58" t="s">
        <v>480</v>
      </c>
      <c r="I49" s="58" t="s">
        <v>531</v>
      </c>
      <c r="J49" s="50"/>
      <c r="L49" s="58" t="str">
        <f t="shared" si="65"/>
        <v>D02</v>
      </c>
      <c r="M49" s="58" t="str">
        <f t="shared" si="61"/>
        <v>S01</v>
      </c>
      <c r="N49" s="58" t="s">
        <v>163</v>
      </c>
      <c r="O49" s="58" t="s">
        <v>158</v>
      </c>
      <c r="P49" s="58" t="str">
        <f t="shared" ref="P49" si="78">_xlfn.CONCAT(L49,M49)</f>
        <v>D02S01</v>
      </c>
      <c r="Q49" s="58" t="str">
        <f t="shared" ref="Q49" si="79">_xlfn.CONCAT(O49,N49)</f>
        <v>P03V06</v>
      </c>
      <c r="R49" s="58" t="str">
        <f t="shared" ref="R49" si="80">_xlfn.CONCAT(P49,Q49)</f>
        <v>D02S01P03V06</v>
      </c>
    </row>
    <row r="50" spans="3:18" x14ac:dyDescent="0.25">
      <c r="C50" s="58" t="s">
        <v>151</v>
      </c>
      <c r="D50" s="58" t="s">
        <v>155</v>
      </c>
      <c r="E50" s="58" t="s">
        <v>162</v>
      </c>
      <c r="F50" s="58" t="s">
        <v>156</v>
      </c>
      <c r="G50" s="58" t="s">
        <v>450</v>
      </c>
      <c r="H50" s="58" t="s">
        <v>443</v>
      </c>
      <c r="I50" s="58" t="s">
        <v>532</v>
      </c>
      <c r="J50" s="50"/>
      <c r="L50" s="58" t="str">
        <f t="shared" si="65"/>
        <v>D02</v>
      </c>
      <c r="M50" s="58" t="s">
        <v>154</v>
      </c>
      <c r="N50" s="58" t="s">
        <v>164</v>
      </c>
      <c r="O50" s="58" t="s">
        <v>157</v>
      </c>
      <c r="P50" s="58" t="str">
        <f>_xlfn.CONCAT(L50,M50)</f>
        <v>D02S02</v>
      </c>
      <c r="Q50" s="58" t="str">
        <f>_xlfn.CONCAT(O50,N50)</f>
        <v>P02V01</v>
      </c>
      <c r="R50" s="58" t="str">
        <f>_xlfn.CONCAT(P50,Q50)</f>
        <v>D02S02P02V01</v>
      </c>
    </row>
    <row r="51" spans="3:18" x14ac:dyDescent="0.25">
      <c r="C51" s="58" t="s">
        <v>151</v>
      </c>
      <c r="D51" s="58" t="s">
        <v>155</v>
      </c>
      <c r="E51" s="58" t="s">
        <v>162</v>
      </c>
      <c r="F51" s="58" t="s">
        <v>157</v>
      </c>
      <c r="G51" s="58" t="s">
        <v>450</v>
      </c>
      <c r="H51" s="58" t="s">
        <v>482</v>
      </c>
      <c r="I51" s="58" t="s">
        <v>533</v>
      </c>
      <c r="J51" s="50"/>
      <c r="L51" s="58" t="str">
        <f t="shared" si="65"/>
        <v>D02</v>
      </c>
      <c r="M51" s="58" t="str">
        <f t="shared" si="65"/>
        <v>S02</v>
      </c>
      <c r="N51" s="58" t="s">
        <v>164</v>
      </c>
      <c r="O51" s="58" t="s">
        <v>158</v>
      </c>
      <c r="P51" s="58" t="str">
        <f t="shared" ref="P51" si="81">_xlfn.CONCAT(L51,M51)</f>
        <v>D02S02</v>
      </c>
      <c r="Q51" s="58" t="str">
        <f t="shared" ref="Q51" si="82">_xlfn.CONCAT(O51,N51)</f>
        <v>P03V01</v>
      </c>
      <c r="R51" s="58" t="str">
        <f t="shared" ref="R51" si="83">_xlfn.CONCAT(P51,Q51)</f>
        <v>D02S02P03V01</v>
      </c>
    </row>
    <row r="52" spans="3:18" x14ac:dyDescent="0.25">
      <c r="C52" s="58" t="s">
        <v>151</v>
      </c>
      <c r="D52" s="58" t="s">
        <v>155</v>
      </c>
      <c r="E52" s="58" t="s">
        <v>162</v>
      </c>
      <c r="F52" s="58" t="s">
        <v>158</v>
      </c>
      <c r="G52" s="58" t="s">
        <v>450</v>
      </c>
      <c r="H52" s="58" t="s">
        <v>484</v>
      </c>
      <c r="I52" s="58" t="s">
        <v>534</v>
      </c>
      <c r="J52" s="50"/>
      <c r="L52" s="58" t="str">
        <f t="shared" si="65"/>
        <v>D02</v>
      </c>
      <c r="M52" s="58" t="str">
        <f t="shared" si="65"/>
        <v>S02</v>
      </c>
      <c r="N52" s="58" t="s">
        <v>165</v>
      </c>
      <c r="O52" s="58" t="s">
        <v>157</v>
      </c>
      <c r="P52" s="58" t="str">
        <f>_xlfn.CONCAT(L52,M52)</f>
        <v>D02S02</v>
      </c>
      <c r="Q52" s="58" t="str">
        <f>_xlfn.CONCAT(O52,N52)</f>
        <v>P02V02</v>
      </c>
      <c r="R52" s="58" t="str">
        <f>_xlfn.CONCAT(P52,Q52)</f>
        <v>D02S02P02V02</v>
      </c>
    </row>
    <row r="53" spans="3:18" x14ac:dyDescent="0.25">
      <c r="C53" s="58" t="s">
        <v>151</v>
      </c>
      <c r="D53" s="58" t="s">
        <v>155</v>
      </c>
      <c r="E53" s="58" t="s">
        <v>163</v>
      </c>
      <c r="F53" s="58" t="s">
        <v>156</v>
      </c>
      <c r="G53" s="58" t="s">
        <v>450</v>
      </c>
      <c r="H53" s="58" t="s">
        <v>445</v>
      </c>
      <c r="I53" s="58" t="s">
        <v>535</v>
      </c>
      <c r="J53" s="50"/>
      <c r="L53" s="58" t="str">
        <f t="shared" si="65"/>
        <v>D02</v>
      </c>
      <c r="M53" s="58" t="str">
        <f t="shared" si="65"/>
        <v>S02</v>
      </c>
      <c r="N53" s="58" t="s">
        <v>165</v>
      </c>
      <c r="O53" s="58" t="s">
        <v>158</v>
      </c>
      <c r="P53" s="58" t="str">
        <f t="shared" ref="P53" si="84">_xlfn.CONCAT(L53,M53)</f>
        <v>D02S02</v>
      </c>
      <c r="Q53" s="58" t="str">
        <f t="shared" ref="Q53" si="85">_xlfn.CONCAT(O53,N53)</f>
        <v>P03V02</v>
      </c>
      <c r="R53" s="58" t="str">
        <f t="shared" ref="R53" si="86">_xlfn.CONCAT(P53,Q53)</f>
        <v>D02S02P03V02</v>
      </c>
    </row>
    <row r="54" spans="3:18" x14ac:dyDescent="0.25">
      <c r="C54" s="58" t="s">
        <v>151</v>
      </c>
      <c r="D54" s="58" t="s">
        <v>155</v>
      </c>
      <c r="E54" s="58" t="s">
        <v>163</v>
      </c>
      <c r="F54" s="58" t="s">
        <v>157</v>
      </c>
      <c r="G54" s="58" t="s">
        <v>450</v>
      </c>
      <c r="H54" s="58" t="s">
        <v>486</v>
      </c>
      <c r="I54" s="58" t="s">
        <v>536</v>
      </c>
      <c r="J54" s="50"/>
      <c r="L54" s="58" t="str">
        <f t="shared" si="65"/>
        <v>D02</v>
      </c>
      <c r="M54" s="58" t="str">
        <f t="shared" si="65"/>
        <v>S02</v>
      </c>
      <c r="N54" s="58" t="s">
        <v>166</v>
      </c>
      <c r="O54" s="58" t="s">
        <v>157</v>
      </c>
      <c r="P54" s="58" t="str">
        <f>_xlfn.CONCAT(L54,M54)</f>
        <v>D02S02</v>
      </c>
      <c r="Q54" s="58" t="str">
        <f>_xlfn.CONCAT(O54,N54)</f>
        <v>P02V03</v>
      </c>
      <c r="R54" s="58" t="str">
        <f>_xlfn.CONCAT(P54,Q54)</f>
        <v>D02S02P02V03</v>
      </c>
    </row>
    <row r="55" spans="3:18" x14ac:dyDescent="0.25">
      <c r="C55" s="58" t="s">
        <v>151</v>
      </c>
      <c r="D55" s="58" t="s">
        <v>155</v>
      </c>
      <c r="E55" s="58" t="s">
        <v>163</v>
      </c>
      <c r="F55" s="58" t="s">
        <v>158</v>
      </c>
      <c r="G55" s="58" t="s">
        <v>450</v>
      </c>
      <c r="H55" s="58" t="s">
        <v>488</v>
      </c>
      <c r="I55" s="58" t="s">
        <v>537</v>
      </c>
      <c r="J55" s="50"/>
      <c r="L55" s="58" t="str">
        <f t="shared" si="65"/>
        <v>D02</v>
      </c>
      <c r="M55" s="58" t="str">
        <f t="shared" si="65"/>
        <v>S02</v>
      </c>
      <c r="N55" s="58" t="s">
        <v>166</v>
      </c>
      <c r="O55" s="58" t="s">
        <v>158</v>
      </c>
      <c r="P55" s="58" t="str">
        <f t="shared" ref="P55" si="87">_xlfn.CONCAT(L55,M55)</f>
        <v>D02S02</v>
      </c>
      <c r="Q55" s="58" t="str">
        <f t="shared" ref="Q55" si="88">_xlfn.CONCAT(O55,N55)</f>
        <v>P03V03</v>
      </c>
      <c r="R55" s="58" t="str">
        <f t="shared" ref="R55" si="89">_xlfn.CONCAT(P55,Q55)</f>
        <v>D02S02P03V03</v>
      </c>
    </row>
    <row r="56" spans="3:18" x14ac:dyDescent="0.25">
      <c r="C56" s="58" t="s">
        <v>152</v>
      </c>
      <c r="D56" s="58" t="s">
        <v>153</v>
      </c>
      <c r="E56" s="58" t="s">
        <v>164</v>
      </c>
      <c r="F56" s="58" t="s">
        <v>156</v>
      </c>
      <c r="G56" s="58" t="s">
        <v>453</v>
      </c>
      <c r="H56" s="58" t="s">
        <v>436</v>
      </c>
      <c r="I56" s="58" t="s">
        <v>454</v>
      </c>
      <c r="J56" s="50"/>
      <c r="L56" s="58" t="str">
        <f t="shared" ref="L56:M71" si="90">+L55</f>
        <v>D02</v>
      </c>
      <c r="M56" s="58" t="str">
        <f t="shared" si="90"/>
        <v>S02</v>
      </c>
      <c r="N56" s="58" t="s">
        <v>161</v>
      </c>
      <c r="O56" s="58" t="s">
        <v>157</v>
      </c>
      <c r="P56" s="58" t="str">
        <f>_xlfn.CONCAT(L56,M56)</f>
        <v>D02S02</v>
      </c>
      <c r="Q56" s="58" t="str">
        <f>_xlfn.CONCAT(O56,N56)</f>
        <v>P02V04</v>
      </c>
      <c r="R56" s="58" t="str">
        <f>_xlfn.CONCAT(P56,Q56)</f>
        <v>D02S02P02V04</v>
      </c>
    </row>
    <row r="57" spans="3:18" x14ac:dyDescent="0.25">
      <c r="C57" s="58" t="s">
        <v>152</v>
      </c>
      <c r="D57" s="58" t="s">
        <v>153</v>
      </c>
      <c r="E57" s="58" t="s">
        <v>164</v>
      </c>
      <c r="F57" s="58" t="s">
        <v>157</v>
      </c>
      <c r="G57" s="58" t="s">
        <v>453</v>
      </c>
      <c r="H57" s="58" t="s">
        <v>467</v>
      </c>
      <c r="I57" s="58" t="s">
        <v>490</v>
      </c>
      <c r="J57" s="50"/>
      <c r="L57" s="58" t="str">
        <f t="shared" si="90"/>
        <v>D02</v>
      </c>
      <c r="M57" s="58" t="str">
        <f t="shared" si="90"/>
        <v>S02</v>
      </c>
      <c r="N57" s="58" t="s">
        <v>161</v>
      </c>
      <c r="O57" s="58" t="s">
        <v>158</v>
      </c>
      <c r="P57" s="58" t="str">
        <f t="shared" ref="P57" si="91">_xlfn.CONCAT(L57,M57)</f>
        <v>D02S02</v>
      </c>
      <c r="Q57" s="58" t="str">
        <f t="shared" ref="Q57" si="92">_xlfn.CONCAT(O57,N57)</f>
        <v>P03V04</v>
      </c>
      <c r="R57" s="58" t="str">
        <f t="shared" ref="R57" si="93">_xlfn.CONCAT(P57,Q57)</f>
        <v>D02S02P03V04</v>
      </c>
    </row>
    <row r="58" spans="3:18" x14ac:dyDescent="0.25">
      <c r="C58" s="58" t="s">
        <v>152</v>
      </c>
      <c r="D58" s="58" t="s">
        <v>153</v>
      </c>
      <c r="E58" s="58" t="s">
        <v>164</v>
      </c>
      <c r="F58" s="58" t="s">
        <v>158</v>
      </c>
      <c r="G58" s="58" t="s">
        <v>453</v>
      </c>
      <c r="H58" s="58" t="s">
        <v>469</v>
      </c>
      <c r="I58" s="58" t="s">
        <v>491</v>
      </c>
      <c r="J58" s="50"/>
      <c r="L58" s="58" t="str">
        <f t="shared" si="90"/>
        <v>D02</v>
      </c>
      <c r="M58" s="58" t="str">
        <f t="shared" si="90"/>
        <v>S02</v>
      </c>
      <c r="N58" s="58" t="s">
        <v>162</v>
      </c>
      <c r="O58" s="58" t="s">
        <v>157</v>
      </c>
      <c r="P58" s="58" t="str">
        <f>_xlfn.CONCAT(L58,M58)</f>
        <v>D02S02</v>
      </c>
      <c r="Q58" s="58" t="str">
        <f>_xlfn.CONCAT(O58,N58)</f>
        <v>P02V05</v>
      </c>
      <c r="R58" s="58" t="str">
        <f>_xlfn.CONCAT(P58,Q58)</f>
        <v>D02S02P02V05</v>
      </c>
    </row>
    <row r="59" spans="3:18" x14ac:dyDescent="0.25">
      <c r="C59" s="58" t="s">
        <v>152</v>
      </c>
      <c r="D59" s="58" t="s">
        <v>153</v>
      </c>
      <c r="E59" s="58" t="s">
        <v>165</v>
      </c>
      <c r="F59" s="58" t="s">
        <v>156</v>
      </c>
      <c r="G59" s="58" t="s">
        <v>453</v>
      </c>
      <c r="H59" s="58" t="s">
        <v>437</v>
      </c>
      <c r="I59" s="58" t="s">
        <v>455</v>
      </c>
      <c r="J59" s="50"/>
      <c r="L59" s="58" t="str">
        <f t="shared" si="90"/>
        <v>D02</v>
      </c>
      <c r="M59" s="58" t="str">
        <f t="shared" si="90"/>
        <v>S02</v>
      </c>
      <c r="N59" s="58" t="s">
        <v>162</v>
      </c>
      <c r="O59" s="58" t="s">
        <v>158</v>
      </c>
      <c r="P59" s="58" t="str">
        <f t="shared" ref="P59" si="94">_xlfn.CONCAT(L59,M59)</f>
        <v>D02S02</v>
      </c>
      <c r="Q59" s="58" t="str">
        <f t="shared" ref="Q59" si="95">_xlfn.CONCAT(O59,N59)</f>
        <v>P03V05</v>
      </c>
      <c r="R59" s="58" t="str">
        <f t="shared" ref="R59" si="96">_xlfn.CONCAT(P59,Q59)</f>
        <v>D02S02P03V05</v>
      </c>
    </row>
    <row r="60" spans="3:18" x14ac:dyDescent="0.25">
      <c r="C60" s="58" t="s">
        <v>152</v>
      </c>
      <c r="D60" s="58" t="s">
        <v>153</v>
      </c>
      <c r="E60" s="58" t="s">
        <v>165</v>
      </c>
      <c r="F60" s="58" t="s">
        <v>157</v>
      </c>
      <c r="G60" s="58" t="s">
        <v>453</v>
      </c>
      <c r="H60" s="58" t="s">
        <v>471</v>
      </c>
      <c r="I60" s="58" t="s">
        <v>492</v>
      </c>
      <c r="J60" s="50"/>
      <c r="L60" s="58" t="str">
        <f t="shared" si="90"/>
        <v>D02</v>
      </c>
      <c r="M60" s="58" t="str">
        <f t="shared" si="90"/>
        <v>S02</v>
      </c>
      <c r="N60" s="58" t="s">
        <v>163</v>
      </c>
      <c r="O60" s="58" t="s">
        <v>157</v>
      </c>
      <c r="P60" s="58" t="str">
        <f>_xlfn.CONCAT(L60,M60)</f>
        <v>D02S02</v>
      </c>
      <c r="Q60" s="58" t="str">
        <f>_xlfn.CONCAT(O60,N60)</f>
        <v>P02V06</v>
      </c>
      <c r="R60" s="58" t="str">
        <f>_xlfn.CONCAT(P60,Q60)</f>
        <v>D02S02P02V06</v>
      </c>
    </row>
    <row r="61" spans="3:18" x14ac:dyDescent="0.25">
      <c r="C61" s="58" t="s">
        <v>152</v>
      </c>
      <c r="D61" s="58" t="s">
        <v>153</v>
      </c>
      <c r="E61" s="58" t="s">
        <v>165</v>
      </c>
      <c r="F61" s="58" t="s">
        <v>158</v>
      </c>
      <c r="G61" s="58" t="s">
        <v>453</v>
      </c>
      <c r="H61" s="58" t="s">
        <v>472</v>
      </c>
      <c r="I61" s="58" t="s">
        <v>493</v>
      </c>
      <c r="J61" s="50"/>
      <c r="L61" s="58" t="str">
        <f t="shared" si="90"/>
        <v>D02</v>
      </c>
      <c r="M61" s="58" t="str">
        <f t="shared" si="90"/>
        <v>S02</v>
      </c>
      <c r="N61" s="58" t="s">
        <v>163</v>
      </c>
      <c r="O61" s="58" t="s">
        <v>158</v>
      </c>
      <c r="P61" s="58" t="str">
        <f t="shared" ref="P61" si="97">_xlfn.CONCAT(L61,M61)</f>
        <v>D02S02</v>
      </c>
      <c r="Q61" s="58" t="str">
        <f t="shared" ref="Q61" si="98">_xlfn.CONCAT(O61,N61)</f>
        <v>P03V06</v>
      </c>
      <c r="R61" s="58" t="str">
        <f t="shared" ref="R61" si="99">_xlfn.CONCAT(P61,Q61)</f>
        <v>D02S02P03V06</v>
      </c>
    </row>
    <row r="62" spans="3:18" x14ac:dyDescent="0.25">
      <c r="C62" s="58" t="s">
        <v>152</v>
      </c>
      <c r="D62" s="58" t="s">
        <v>153</v>
      </c>
      <c r="E62" s="58" t="s">
        <v>166</v>
      </c>
      <c r="F62" s="58" t="s">
        <v>156</v>
      </c>
      <c r="G62" s="58" t="s">
        <v>453</v>
      </c>
      <c r="H62" s="58" t="s">
        <v>439</v>
      </c>
      <c r="I62" s="58" t="s">
        <v>456</v>
      </c>
      <c r="J62" s="50"/>
      <c r="L62" s="58" t="str">
        <f t="shared" si="90"/>
        <v>D02</v>
      </c>
      <c r="M62" s="58" t="s">
        <v>155</v>
      </c>
      <c r="N62" s="58" t="s">
        <v>164</v>
      </c>
      <c r="O62" s="58" t="s">
        <v>157</v>
      </c>
      <c r="P62" s="58" t="str">
        <f>_xlfn.CONCAT(L62,M62)</f>
        <v>D02S03</v>
      </c>
      <c r="Q62" s="58" t="str">
        <f>_xlfn.CONCAT(O62,N62)</f>
        <v>P02V01</v>
      </c>
      <c r="R62" s="58" t="str">
        <f>_xlfn.CONCAT(P62,Q62)</f>
        <v>D02S03P02V01</v>
      </c>
    </row>
    <row r="63" spans="3:18" x14ac:dyDescent="0.25">
      <c r="C63" s="58" t="s">
        <v>152</v>
      </c>
      <c r="D63" s="58" t="s">
        <v>153</v>
      </c>
      <c r="E63" s="58" t="s">
        <v>166</v>
      </c>
      <c r="F63" s="58" t="s">
        <v>157</v>
      </c>
      <c r="G63" s="58" t="s">
        <v>453</v>
      </c>
      <c r="H63" s="58" t="s">
        <v>474</v>
      </c>
      <c r="I63" s="58" t="s">
        <v>494</v>
      </c>
      <c r="J63" s="50"/>
      <c r="L63" s="58" t="str">
        <f t="shared" si="90"/>
        <v>D02</v>
      </c>
      <c r="M63" s="58" t="str">
        <f t="shared" si="90"/>
        <v>S03</v>
      </c>
      <c r="N63" s="58" t="s">
        <v>164</v>
      </c>
      <c r="O63" s="58" t="s">
        <v>158</v>
      </c>
      <c r="P63" s="58" t="str">
        <f t="shared" ref="P63" si="100">_xlfn.CONCAT(L63,M63)</f>
        <v>D02S03</v>
      </c>
      <c r="Q63" s="58" t="str">
        <f t="shared" ref="Q63" si="101">_xlfn.CONCAT(O63,N63)</f>
        <v>P03V01</v>
      </c>
      <c r="R63" s="58" t="str">
        <f t="shared" ref="R63" si="102">_xlfn.CONCAT(P63,Q63)</f>
        <v>D02S03P03V01</v>
      </c>
    </row>
    <row r="64" spans="3:18" x14ac:dyDescent="0.25">
      <c r="C64" s="58" t="s">
        <v>152</v>
      </c>
      <c r="D64" s="58" t="s">
        <v>153</v>
      </c>
      <c r="E64" s="58" t="s">
        <v>166</v>
      </c>
      <c r="F64" s="58" t="s">
        <v>158</v>
      </c>
      <c r="G64" s="58" t="s">
        <v>453</v>
      </c>
      <c r="H64" s="58" t="s">
        <v>476</v>
      </c>
      <c r="I64" s="58" t="s">
        <v>495</v>
      </c>
      <c r="J64" s="50"/>
      <c r="L64" s="58" t="str">
        <f t="shared" si="90"/>
        <v>D02</v>
      </c>
      <c r="M64" s="58" t="str">
        <f t="shared" si="90"/>
        <v>S03</v>
      </c>
      <c r="N64" s="58" t="s">
        <v>165</v>
      </c>
      <c r="O64" s="58" t="s">
        <v>157</v>
      </c>
      <c r="P64" s="58" t="str">
        <f>_xlfn.CONCAT(L64,M64)</f>
        <v>D02S03</v>
      </c>
      <c r="Q64" s="58" t="str">
        <f>_xlfn.CONCAT(O64,N64)</f>
        <v>P02V02</v>
      </c>
      <c r="R64" s="58" t="str">
        <f>_xlfn.CONCAT(P64,Q64)</f>
        <v>D02S03P02V02</v>
      </c>
    </row>
    <row r="65" spans="3:18" x14ac:dyDescent="0.25">
      <c r="C65" s="58" t="s">
        <v>152</v>
      </c>
      <c r="D65" s="58" t="s">
        <v>153</v>
      </c>
      <c r="E65" s="58" t="s">
        <v>161</v>
      </c>
      <c r="F65" s="58" t="s">
        <v>156</v>
      </c>
      <c r="G65" s="58" t="s">
        <v>453</v>
      </c>
      <c r="H65" s="58" t="s">
        <v>441</v>
      </c>
      <c r="I65" s="58" t="s">
        <v>457</v>
      </c>
      <c r="J65" s="50"/>
      <c r="L65" s="58" t="str">
        <f t="shared" si="90"/>
        <v>D02</v>
      </c>
      <c r="M65" s="58" t="str">
        <f t="shared" si="90"/>
        <v>S03</v>
      </c>
      <c r="N65" s="58" t="s">
        <v>165</v>
      </c>
      <c r="O65" s="58" t="s">
        <v>158</v>
      </c>
      <c r="P65" s="58" t="str">
        <f t="shared" ref="P65" si="103">_xlfn.CONCAT(L65,M65)</f>
        <v>D02S03</v>
      </c>
      <c r="Q65" s="58" t="str">
        <f t="shared" ref="Q65" si="104">_xlfn.CONCAT(O65,N65)</f>
        <v>P03V02</v>
      </c>
      <c r="R65" s="58" t="str">
        <f t="shared" ref="R65" si="105">_xlfn.CONCAT(P65,Q65)</f>
        <v>D02S03P03V02</v>
      </c>
    </row>
    <row r="66" spans="3:18" x14ac:dyDescent="0.25">
      <c r="C66" s="58" t="s">
        <v>152</v>
      </c>
      <c r="D66" s="58" t="s">
        <v>153</v>
      </c>
      <c r="E66" s="58" t="s">
        <v>161</v>
      </c>
      <c r="F66" s="58" t="s">
        <v>157</v>
      </c>
      <c r="G66" s="58" t="s">
        <v>453</v>
      </c>
      <c r="H66" s="58" t="s">
        <v>478</v>
      </c>
      <c r="I66" s="58" t="s">
        <v>496</v>
      </c>
      <c r="J66" s="50"/>
      <c r="L66" s="58" t="str">
        <f t="shared" si="90"/>
        <v>D02</v>
      </c>
      <c r="M66" s="58" t="str">
        <f t="shared" si="90"/>
        <v>S03</v>
      </c>
      <c r="N66" s="58" t="s">
        <v>166</v>
      </c>
      <c r="O66" s="58" t="s">
        <v>157</v>
      </c>
      <c r="P66" s="58" t="str">
        <f>_xlfn.CONCAT(L66,M66)</f>
        <v>D02S03</v>
      </c>
      <c r="Q66" s="58" t="str">
        <f>_xlfn.CONCAT(O66,N66)</f>
        <v>P02V03</v>
      </c>
      <c r="R66" s="58" t="str">
        <f>_xlfn.CONCAT(P66,Q66)</f>
        <v>D02S03P02V03</v>
      </c>
    </row>
    <row r="67" spans="3:18" x14ac:dyDescent="0.25">
      <c r="C67" s="58" t="s">
        <v>152</v>
      </c>
      <c r="D67" s="58" t="s">
        <v>153</v>
      </c>
      <c r="E67" s="58" t="s">
        <v>161</v>
      </c>
      <c r="F67" s="58" t="s">
        <v>158</v>
      </c>
      <c r="G67" s="58" t="s">
        <v>453</v>
      </c>
      <c r="H67" s="58" t="s">
        <v>480</v>
      </c>
      <c r="I67" s="58" t="s">
        <v>497</v>
      </c>
      <c r="J67" s="50"/>
      <c r="L67" s="58" t="str">
        <f t="shared" si="90"/>
        <v>D02</v>
      </c>
      <c r="M67" s="58" t="str">
        <f t="shared" si="90"/>
        <v>S03</v>
      </c>
      <c r="N67" s="58" t="s">
        <v>166</v>
      </c>
      <c r="O67" s="58" t="s">
        <v>158</v>
      </c>
      <c r="P67" s="58" t="str">
        <f t="shared" ref="P67" si="106">_xlfn.CONCAT(L67,M67)</f>
        <v>D02S03</v>
      </c>
      <c r="Q67" s="58" t="str">
        <f t="shared" ref="Q67" si="107">_xlfn.CONCAT(O67,N67)</f>
        <v>P03V03</v>
      </c>
      <c r="R67" s="58" t="str">
        <f t="shared" ref="R67" si="108">_xlfn.CONCAT(P67,Q67)</f>
        <v>D02S03P03V03</v>
      </c>
    </row>
    <row r="68" spans="3:18" x14ac:dyDescent="0.25">
      <c r="C68" s="58" t="s">
        <v>152</v>
      </c>
      <c r="D68" s="58" t="s">
        <v>153</v>
      </c>
      <c r="E68" s="58" t="s">
        <v>162</v>
      </c>
      <c r="F68" s="58" t="s">
        <v>156</v>
      </c>
      <c r="G68" s="58" t="s">
        <v>453</v>
      </c>
      <c r="H68" s="58" t="s">
        <v>443</v>
      </c>
      <c r="I68" s="58" t="s">
        <v>458</v>
      </c>
      <c r="J68" s="50"/>
      <c r="L68" s="58" t="str">
        <f t="shared" si="90"/>
        <v>D02</v>
      </c>
      <c r="M68" s="58" t="str">
        <f t="shared" si="90"/>
        <v>S03</v>
      </c>
      <c r="N68" s="58" t="s">
        <v>161</v>
      </c>
      <c r="O68" s="58" t="s">
        <v>157</v>
      </c>
      <c r="P68" s="58" t="str">
        <f>_xlfn.CONCAT(L68,M68)</f>
        <v>D02S03</v>
      </c>
      <c r="Q68" s="58" t="str">
        <f>_xlfn.CONCAT(O68,N68)</f>
        <v>P02V04</v>
      </c>
      <c r="R68" s="58" t="str">
        <f>_xlfn.CONCAT(P68,Q68)</f>
        <v>D02S03P02V04</v>
      </c>
    </row>
    <row r="69" spans="3:18" x14ac:dyDescent="0.25">
      <c r="C69" s="58" t="s">
        <v>152</v>
      </c>
      <c r="D69" s="58" t="s">
        <v>153</v>
      </c>
      <c r="E69" s="58" t="s">
        <v>162</v>
      </c>
      <c r="F69" s="58" t="s">
        <v>157</v>
      </c>
      <c r="G69" s="58" t="s">
        <v>453</v>
      </c>
      <c r="H69" s="58" t="s">
        <v>482</v>
      </c>
      <c r="I69" s="58" t="s">
        <v>498</v>
      </c>
      <c r="J69" s="50"/>
      <c r="L69" s="58" t="str">
        <f t="shared" si="90"/>
        <v>D02</v>
      </c>
      <c r="M69" s="58" t="str">
        <f t="shared" si="90"/>
        <v>S03</v>
      </c>
      <c r="N69" s="58" t="s">
        <v>161</v>
      </c>
      <c r="O69" s="58" t="s">
        <v>158</v>
      </c>
      <c r="P69" s="58" t="str">
        <f t="shared" ref="P69" si="109">_xlfn.CONCAT(L69,M69)</f>
        <v>D02S03</v>
      </c>
      <c r="Q69" s="58" t="str">
        <f t="shared" ref="Q69" si="110">_xlfn.CONCAT(O69,N69)</f>
        <v>P03V04</v>
      </c>
      <c r="R69" s="58" t="str">
        <f t="shared" ref="R69" si="111">_xlfn.CONCAT(P69,Q69)</f>
        <v>D02S03P03V04</v>
      </c>
    </row>
    <row r="70" spans="3:18" x14ac:dyDescent="0.25">
      <c r="C70" s="58" t="s">
        <v>152</v>
      </c>
      <c r="D70" s="58" t="s">
        <v>153</v>
      </c>
      <c r="E70" s="58" t="s">
        <v>162</v>
      </c>
      <c r="F70" s="58" t="s">
        <v>158</v>
      </c>
      <c r="G70" s="58" t="s">
        <v>453</v>
      </c>
      <c r="H70" s="58" t="s">
        <v>484</v>
      </c>
      <c r="I70" s="58" t="s">
        <v>499</v>
      </c>
      <c r="J70" s="50"/>
      <c r="L70" s="58" t="str">
        <f t="shared" si="90"/>
        <v>D02</v>
      </c>
      <c r="M70" s="58" t="str">
        <f t="shared" si="90"/>
        <v>S03</v>
      </c>
      <c r="N70" s="58" t="s">
        <v>162</v>
      </c>
      <c r="O70" s="58" t="s">
        <v>157</v>
      </c>
      <c r="P70" s="58" t="str">
        <f>_xlfn.CONCAT(L70,M70)</f>
        <v>D02S03</v>
      </c>
      <c r="Q70" s="58" t="str">
        <f>_xlfn.CONCAT(O70,N70)</f>
        <v>P02V05</v>
      </c>
      <c r="R70" s="58" t="str">
        <f>_xlfn.CONCAT(P70,Q70)</f>
        <v>D02S03P02V05</v>
      </c>
    </row>
    <row r="71" spans="3:18" x14ac:dyDescent="0.25">
      <c r="C71" s="58" t="s">
        <v>152</v>
      </c>
      <c r="D71" s="58" t="s">
        <v>153</v>
      </c>
      <c r="E71" s="58" t="s">
        <v>163</v>
      </c>
      <c r="F71" s="58" t="s">
        <v>156</v>
      </c>
      <c r="G71" s="58" t="s">
        <v>453</v>
      </c>
      <c r="H71" s="58" t="s">
        <v>445</v>
      </c>
      <c r="I71" s="58" t="s">
        <v>459</v>
      </c>
      <c r="J71" s="50"/>
      <c r="L71" s="58" t="str">
        <f t="shared" si="90"/>
        <v>D02</v>
      </c>
      <c r="M71" s="58" t="str">
        <f t="shared" si="90"/>
        <v>S03</v>
      </c>
      <c r="N71" s="58" t="s">
        <v>162</v>
      </c>
      <c r="O71" s="58" t="s">
        <v>158</v>
      </c>
      <c r="P71" s="58" t="str">
        <f t="shared" ref="P71" si="112">_xlfn.CONCAT(L71,M71)</f>
        <v>D02S03</v>
      </c>
      <c r="Q71" s="58" t="str">
        <f t="shared" ref="Q71" si="113">_xlfn.CONCAT(O71,N71)</f>
        <v>P03V05</v>
      </c>
      <c r="R71" s="58" t="str">
        <f t="shared" ref="R71" si="114">_xlfn.CONCAT(P71,Q71)</f>
        <v>D02S03P03V05</v>
      </c>
    </row>
    <row r="72" spans="3:18" x14ac:dyDescent="0.25">
      <c r="C72" s="58" t="s">
        <v>152</v>
      </c>
      <c r="D72" s="58" t="s">
        <v>153</v>
      </c>
      <c r="E72" s="58" t="s">
        <v>163</v>
      </c>
      <c r="F72" s="58" t="s">
        <v>157</v>
      </c>
      <c r="G72" s="58" t="s">
        <v>453</v>
      </c>
      <c r="H72" s="58" t="s">
        <v>486</v>
      </c>
      <c r="I72" s="58" t="s">
        <v>500</v>
      </c>
      <c r="J72" s="50"/>
      <c r="L72" s="58" t="str">
        <f t="shared" ref="L72:M73" si="115">+L71</f>
        <v>D02</v>
      </c>
      <c r="M72" s="58" t="str">
        <f t="shared" si="115"/>
        <v>S03</v>
      </c>
      <c r="N72" s="58" t="s">
        <v>163</v>
      </c>
      <c r="O72" s="58" t="s">
        <v>157</v>
      </c>
      <c r="P72" s="58" t="str">
        <f>_xlfn.CONCAT(L72,M72)</f>
        <v>D02S03</v>
      </c>
      <c r="Q72" s="58" t="str">
        <f>_xlfn.CONCAT(O72,N72)</f>
        <v>P02V06</v>
      </c>
      <c r="R72" s="58" t="str">
        <f>_xlfn.CONCAT(P72,Q72)</f>
        <v>D02S03P02V06</v>
      </c>
    </row>
    <row r="73" spans="3:18" x14ac:dyDescent="0.25">
      <c r="C73" s="58" t="s">
        <v>152</v>
      </c>
      <c r="D73" s="58" t="s">
        <v>153</v>
      </c>
      <c r="E73" s="58" t="s">
        <v>163</v>
      </c>
      <c r="F73" s="58" t="s">
        <v>158</v>
      </c>
      <c r="G73" s="58" t="s">
        <v>453</v>
      </c>
      <c r="H73" s="58" t="s">
        <v>488</v>
      </c>
      <c r="I73" s="58" t="s">
        <v>501</v>
      </c>
      <c r="J73" s="50"/>
      <c r="L73" s="58" t="str">
        <f t="shared" si="115"/>
        <v>D02</v>
      </c>
      <c r="M73" s="58" t="str">
        <f t="shared" si="115"/>
        <v>S03</v>
      </c>
      <c r="N73" s="58" t="s">
        <v>163</v>
      </c>
      <c r="O73" s="58" t="s">
        <v>158</v>
      </c>
      <c r="P73" s="58" t="str">
        <f t="shared" ref="P73:P79" si="116">_xlfn.CONCAT(L73,M73)</f>
        <v>D02S03</v>
      </c>
      <c r="Q73" s="58" t="str">
        <f t="shared" ref="Q73" si="117">_xlfn.CONCAT(O73,N73)</f>
        <v>P03V06</v>
      </c>
      <c r="R73" s="58" t="str">
        <f t="shared" ref="R73:R79" si="118">_xlfn.CONCAT(P73,Q73)</f>
        <v>D02S03P03V06</v>
      </c>
    </row>
    <row r="74" spans="3:18" x14ac:dyDescent="0.25">
      <c r="C74" s="58" t="s">
        <v>152</v>
      </c>
      <c r="D74" s="58" t="s">
        <v>154</v>
      </c>
      <c r="E74" s="58" t="s">
        <v>164</v>
      </c>
      <c r="F74" s="58" t="s">
        <v>156</v>
      </c>
      <c r="G74" s="58" t="s">
        <v>460</v>
      </c>
      <c r="H74" s="58" t="s">
        <v>436</v>
      </c>
      <c r="I74" s="58" t="s">
        <v>461</v>
      </c>
      <c r="J74" s="50"/>
      <c r="L74" s="58" t="s">
        <v>151</v>
      </c>
      <c r="M74" s="58" t="s">
        <v>153</v>
      </c>
      <c r="N74" s="58" t="s">
        <v>164</v>
      </c>
      <c r="O74" s="58" t="s">
        <v>159</v>
      </c>
      <c r="P74" s="58" t="str">
        <f t="shared" si="116"/>
        <v>D01S01</v>
      </c>
      <c r="Q74" s="58" t="str">
        <f t="shared" ref="Q74:Q79" si="119">_xlfn.CONCAT(O74)</f>
        <v>P04</v>
      </c>
      <c r="R74" s="58" t="str">
        <f t="shared" si="118"/>
        <v>D01S01P04</v>
      </c>
    </row>
    <row r="75" spans="3:18" x14ac:dyDescent="0.25">
      <c r="C75" s="58" t="s">
        <v>152</v>
      </c>
      <c r="D75" s="58" t="s">
        <v>154</v>
      </c>
      <c r="E75" s="58" t="s">
        <v>164</v>
      </c>
      <c r="F75" s="58" t="s">
        <v>157</v>
      </c>
      <c r="G75" s="58" t="s">
        <v>460</v>
      </c>
      <c r="H75" s="58" t="s">
        <v>467</v>
      </c>
      <c r="I75" s="58" t="s">
        <v>538</v>
      </c>
      <c r="J75" s="50"/>
      <c r="L75" s="58" t="str">
        <f>+L74</f>
        <v>D01</v>
      </c>
      <c r="M75" s="58" t="s">
        <v>154</v>
      </c>
      <c r="N75" s="58" t="s">
        <v>164</v>
      </c>
      <c r="O75" s="58" t="s">
        <v>159</v>
      </c>
      <c r="P75" s="58" t="str">
        <f t="shared" si="116"/>
        <v>D01S02</v>
      </c>
      <c r="Q75" s="58" t="str">
        <f t="shared" si="119"/>
        <v>P04</v>
      </c>
      <c r="R75" s="58" t="str">
        <f t="shared" si="118"/>
        <v>D01S02P04</v>
      </c>
    </row>
    <row r="76" spans="3:18" x14ac:dyDescent="0.25">
      <c r="C76" s="58" t="s">
        <v>152</v>
      </c>
      <c r="D76" s="58" t="s">
        <v>154</v>
      </c>
      <c r="E76" s="58" t="s">
        <v>164</v>
      </c>
      <c r="F76" s="58" t="s">
        <v>158</v>
      </c>
      <c r="G76" s="58" t="s">
        <v>460</v>
      </c>
      <c r="H76" s="58" t="s">
        <v>469</v>
      </c>
      <c r="I76" s="58" t="s">
        <v>539</v>
      </c>
      <c r="J76" s="50"/>
      <c r="L76" s="58" t="str">
        <f>+L75</f>
        <v>D01</v>
      </c>
      <c r="M76" s="58" t="s">
        <v>155</v>
      </c>
      <c r="N76" s="58" t="s">
        <v>164</v>
      </c>
      <c r="O76" s="58" t="s">
        <v>159</v>
      </c>
      <c r="P76" s="58" t="str">
        <f t="shared" si="116"/>
        <v>D01S03</v>
      </c>
      <c r="Q76" s="58" t="str">
        <f t="shared" si="119"/>
        <v>P04</v>
      </c>
      <c r="R76" s="58" t="str">
        <f t="shared" si="118"/>
        <v>D01S03P04</v>
      </c>
    </row>
    <row r="77" spans="3:18" x14ac:dyDescent="0.25">
      <c r="C77" s="58" t="s">
        <v>152</v>
      </c>
      <c r="D77" s="58" t="s">
        <v>154</v>
      </c>
      <c r="E77" s="58" t="s">
        <v>165</v>
      </c>
      <c r="F77" s="58" t="s">
        <v>156</v>
      </c>
      <c r="G77" s="58" t="s">
        <v>460</v>
      </c>
      <c r="H77" s="58" t="s">
        <v>437</v>
      </c>
      <c r="I77" s="58" t="s">
        <v>540</v>
      </c>
      <c r="J77" s="50"/>
      <c r="L77" s="58" t="s">
        <v>152</v>
      </c>
      <c r="M77" s="58" t="s">
        <v>153</v>
      </c>
      <c r="N77" s="58" t="s">
        <v>164</v>
      </c>
      <c r="O77" s="58" t="s">
        <v>159</v>
      </c>
      <c r="P77" s="58" t="str">
        <f t="shared" si="116"/>
        <v>D02S01</v>
      </c>
      <c r="Q77" s="58" t="str">
        <f t="shared" si="119"/>
        <v>P04</v>
      </c>
      <c r="R77" s="58" t="str">
        <f t="shared" si="118"/>
        <v>D02S01P04</v>
      </c>
    </row>
    <row r="78" spans="3:18" x14ac:dyDescent="0.25">
      <c r="C78" s="58" t="s">
        <v>152</v>
      </c>
      <c r="D78" s="58" t="s">
        <v>154</v>
      </c>
      <c r="E78" s="58" t="s">
        <v>165</v>
      </c>
      <c r="F78" s="58" t="s">
        <v>157</v>
      </c>
      <c r="G78" s="58" t="s">
        <v>460</v>
      </c>
      <c r="H78" s="58" t="s">
        <v>471</v>
      </c>
      <c r="I78" s="58" t="s">
        <v>541</v>
      </c>
      <c r="J78" s="50"/>
      <c r="L78" s="58" t="str">
        <f>+L77</f>
        <v>D02</v>
      </c>
      <c r="M78" s="58" t="s">
        <v>154</v>
      </c>
      <c r="N78" s="58" t="s">
        <v>164</v>
      </c>
      <c r="O78" s="58" t="s">
        <v>159</v>
      </c>
      <c r="P78" s="58" t="str">
        <f t="shared" si="116"/>
        <v>D02S02</v>
      </c>
      <c r="Q78" s="58" t="str">
        <f t="shared" si="119"/>
        <v>P04</v>
      </c>
      <c r="R78" s="58" t="str">
        <f t="shared" si="118"/>
        <v>D02S02P04</v>
      </c>
    </row>
    <row r="79" spans="3:18" x14ac:dyDescent="0.25">
      <c r="C79" s="58" t="s">
        <v>152</v>
      </c>
      <c r="D79" s="58" t="s">
        <v>154</v>
      </c>
      <c r="E79" s="58" t="s">
        <v>165</v>
      </c>
      <c r="F79" s="58" t="s">
        <v>158</v>
      </c>
      <c r="G79" s="58" t="s">
        <v>460</v>
      </c>
      <c r="H79" s="58" t="s">
        <v>472</v>
      </c>
      <c r="I79" s="58" t="s">
        <v>542</v>
      </c>
      <c r="J79" s="50"/>
      <c r="L79" s="58" t="str">
        <f>+L78</f>
        <v>D02</v>
      </c>
      <c r="M79" s="58" t="s">
        <v>155</v>
      </c>
      <c r="N79" s="58" t="s">
        <v>164</v>
      </c>
      <c r="O79" s="58" t="s">
        <v>159</v>
      </c>
      <c r="P79" s="58" t="str">
        <f t="shared" si="116"/>
        <v>D02S03</v>
      </c>
      <c r="Q79" s="58" t="str">
        <f t="shared" si="119"/>
        <v>P04</v>
      </c>
      <c r="R79" s="58" t="str">
        <f t="shared" si="118"/>
        <v>D02S03P04</v>
      </c>
    </row>
    <row r="80" spans="3:18" x14ac:dyDescent="0.25">
      <c r="C80" s="58" t="s">
        <v>152</v>
      </c>
      <c r="D80" s="58" t="s">
        <v>154</v>
      </c>
      <c r="E80" s="58" t="s">
        <v>166</v>
      </c>
      <c r="F80" s="58" t="s">
        <v>156</v>
      </c>
      <c r="G80" s="58" t="s">
        <v>460</v>
      </c>
      <c r="H80" s="58" t="s">
        <v>439</v>
      </c>
      <c r="I80" s="58" t="s">
        <v>543</v>
      </c>
      <c r="J80" s="50"/>
      <c r="L80" s="58" t="s">
        <v>151</v>
      </c>
      <c r="M80" s="58" t="s">
        <v>153</v>
      </c>
      <c r="N80" s="58" t="s">
        <v>164</v>
      </c>
      <c r="O80" s="58" t="s">
        <v>156</v>
      </c>
      <c r="P80" s="58" t="str">
        <f t="shared" ref="P80" si="120">_xlfn.CONCAT(L80,M80)</f>
        <v>D01S01</v>
      </c>
      <c r="Q80" s="58" t="str">
        <f t="shared" ref="Q80" si="121">_xlfn.CONCAT(O80,N80)</f>
        <v>P01V01</v>
      </c>
      <c r="R80" s="58" t="str">
        <f t="shared" ref="R80" si="122">_xlfn.CONCAT(P80,Q80)</f>
        <v>D01S01P01V01</v>
      </c>
    </row>
    <row r="81" spans="3:18" x14ac:dyDescent="0.25">
      <c r="C81" s="58" t="s">
        <v>152</v>
      </c>
      <c r="D81" s="58" t="s">
        <v>154</v>
      </c>
      <c r="E81" s="58" t="s">
        <v>166</v>
      </c>
      <c r="F81" s="58" t="s">
        <v>157</v>
      </c>
      <c r="G81" s="58" t="s">
        <v>460</v>
      </c>
      <c r="H81" s="58" t="s">
        <v>474</v>
      </c>
      <c r="I81" s="58" t="s">
        <v>544</v>
      </c>
      <c r="J81" s="50"/>
      <c r="L81" s="58" t="s">
        <v>151</v>
      </c>
      <c r="M81" s="58" t="s">
        <v>153</v>
      </c>
      <c r="N81" s="58" t="s">
        <v>165</v>
      </c>
      <c r="O81" s="58" t="s">
        <v>156</v>
      </c>
      <c r="P81" s="58" t="str">
        <f t="shared" ref="P81:P115" si="123">_xlfn.CONCAT(L81,M81)</f>
        <v>D01S01</v>
      </c>
      <c r="Q81" s="58" t="str">
        <f t="shared" ref="Q81:Q115" si="124">_xlfn.CONCAT(O81,N81)</f>
        <v>P01V02</v>
      </c>
      <c r="R81" s="58" t="str">
        <f t="shared" ref="R81:R115" si="125">_xlfn.CONCAT(P81,Q81)</f>
        <v>D01S01P01V02</v>
      </c>
    </row>
    <row r="82" spans="3:18" x14ac:dyDescent="0.25">
      <c r="C82" s="58" t="s">
        <v>152</v>
      </c>
      <c r="D82" s="58" t="s">
        <v>154</v>
      </c>
      <c r="E82" s="58" t="s">
        <v>166</v>
      </c>
      <c r="F82" s="58" t="s">
        <v>158</v>
      </c>
      <c r="G82" s="58" t="s">
        <v>460</v>
      </c>
      <c r="H82" s="58" t="s">
        <v>476</v>
      </c>
      <c r="I82" s="58" t="s">
        <v>545</v>
      </c>
      <c r="J82" s="50"/>
      <c r="L82" s="58" t="s">
        <v>151</v>
      </c>
      <c r="M82" s="58" t="s">
        <v>153</v>
      </c>
      <c r="N82" s="58" t="s">
        <v>166</v>
      </c>
      <c r="O82" s="58" t="s">
        <v>156</v>
      </c>
      <c r="P82" s="58" t="str">
        <f t="shared" si="123"/>
        <v>D01S01</v>
      </c>
      <c r="Q82" s="58" t="str">
        <f t="shared" si="124"/>
        <v>P01V03</v>
      </c>
      <c r="R82" s="58" t="str">
        <f t="shared" si="125"/>
        <v>D01S01P01V03</v>
      </c>
    </row>
    <row r="83" spans="3:18" x14ac:dyDescent="0.25">
      <c r="C83" s="58" t="s">
        <v>152</v>
      </c>
      <c r="D83" s="58" t="s">
        <v>154</v>
      </c>
      <c r="E83" s="58" t="s">
        <v>161</v>
      </c>
      <c r="F83" s="58" t="s">
        <v>156</v>
      </c>
      <c r="G83" s="58" t="s">
        <v>460</v>
      </c>
      <c r="H83" s="58" t="s">
        <v>441</v>
      </c>
      <c r="I83" s="58" t="s">
        <v>462</v>
      </c>
      <c r="J83" s="50"/>
      <c r="L83" s="58" t="s">
        <v>151</v>
      </c>
      <c r="M83" s="58" t="s">
        <v>153</v>
      </c>
      <c r="N83" s="58" t="s">
        <v>161</v>
      </c>
      <c r="O83" s="58" t="s">
        <v>156</v>
      </c>
      <c r="P83" s="58" t="str">
        <f t="shared" si="123"/>
        <v>D01S01</v>
      </c>
      <c r="Q83" s="58" t="str">
        <f t="shared" si="124"/>
        <v>P01V04</v>
      </c>
      <c r="R83" s="58" t="str">
        <f t="shared" si="125"/>
        <v>D01S01P01V04</v>
      </c>
    </row>
    <row r="84" spans="3:18" x14ac:dyDescent="0.25">
      <c r="C84" s="58" t="s">
        <v>152</v>
      </c>
      <c r="D84" s="58" t="s">
        <v>154</v>
      </c>
      <c r="E84" s="58" t="s">
        <v>161</v>
      </c>
      <c r="F84" s="58" t="s">
        <v>157</v>
      </c>
      <c r="G84" s="58" t="s">
        <v>460</v>
      </c>
      <c r="H84" s="58" t="s">
        <v>478</v>
      </c>
      <c r="I84" s="58" t="s">
        <v>546</v>
      </c>
      <c r="J84" s="50"/>
      <c r="L84" s="58" t="s">
        <v>151</v>
      </c>
      <c r="M84" s="58" t="s">
        <v>153</v>
      </c>
      <c r="N84" s="58" t="s">
        <v>162</v>
      </c>
      <c r="O84" s="58" t="s">
        <v>156</v>
      </c>
      <c r="P84" s="58" t="str">
        <f t="shared" si="123"/>
        <v>D01S01</v>
      </c>
      <c r="Q84" s="58" t="str">
        <f t="shared" si="124"/>
        <v>P01V05</v>
      </c>
      <c r="R84" s="58" t="str">
        <f t="shared" si="125"/>
        <v>D01S01P01V05</v>
      </c>
    </row>
    <row r="85" spans="3:18" x14ac:dyDescent="0.25">
      <c r="C85" s="58" t="s">
        <v>152</v>
      </c>
      <c r="D85" s="58" t="s">
        <v>154</v>
      </c>
      <c r="E85" s="58" t="s">
        <v>161</v>
      </c>
      <c r="F85" s="58" t="s">
        <v>158</v>
      </c>
      <c r="G85" s="58" t="s">
        <v>460</v>
      </c>
      <c r="H85" s="58" t="s">
        <v>480</v>
      </c>
      <c r="I85" s="58" t="s">
        <v>547</v>
      </c>
      <c r="J85" s="50"/>
      <c r="L85" s="58" t="s">
        <v>151</v>
      </c>
      <c r="M85" s="58" t="s">
        <v>153</v>
      </c>
      <c r="N85" s="58" t="s">
        <v>163</v>
      </c>
      <c r="O85" s="58" t="s">
        <v>156</v>
      </c>
      <c r="P85" s="58" t="str">
        <f t="shared" si="123"/>
        <v>D01S01</v>
      </c>
      <c r="Q85" s="58" t="str">
        <f t="shared" si="124"/>
        <v>P01V06</v>
      </c>
      <c r="R85" s="58" t="str">
        <f t="shared" si="125"/>
        <v>D01S01P01V06</v>
      </c>
    </row>
    <row r="86" spans="3:18" x14ac:dyDescent="0.25">
      <c r="C86" s="58" t="s">
        <v>152</v>
      </c>
      <c r="D86" s="58" t="s">
        <v>154</v>
      </c>
      <c r="E86" s="58" t="s">
        <v>162</v>
      </c>
      <c r="F86" s="58" t="s">
        <v>156</v>
      </c>
      <c r="G86" s="58" t="s">
        <v>460</v>
      </c>
      <c r="H86" s="58" t="s">
        <v>443</v>
      </c>
      <c r="I86" s="58" t="s">
        <v>548</v>
      </c>
      <c r="J86" s="50"/>
      <c r="L86" s="58" t="s">
        <v>151</v>
      </c>
      <c r="M86" s="58" t="s">
        <v>154</v>
      </c>
      <c r="N86" s="58" t="s">
        <v>164</v>
      </c>
      <c r="O86" s="58" t="s">
        <v>156</v>
      </c>
      <c r="P86" s="58" t="str">
        <f t="shared" si="123"/>
        <v>D01S02</v>
      </c>
      <c r="Q86" s="58" t="str">
        <f t="shared" si="124"/>
        <v>P01V01</v>
      </c>
      <c r="R86" s="58" t="str">
        <f t="shared" si="125"/>
        <v>D01S02P01V01</v>
      </c>
    </row>
    <row r="87" spans="3:18" x14ac:dyDescent="0.25">
      <c r="C87" s="58" t="s">
        <v>152</v>
      </c>
      <c r="D87" s="58" t="s">
        <v>154</v>
      </c>
      <c r="E87" s="58" t="s">
        <v>162</v>
      </c>
      <c r="F87" s="58" t="s">
        <v>157</v>
      </c>
      <c r="G87" s="58" t="s">
        <v>460</v>
      </c>
      <c r="H87" s="58" t="s">
        <v>482</v>
      </c>
      <c r="I87" s="58" t="s">
        <v>549</v>
      </c>
      <c r="J87" s="50"/>
      <c r="L87" s="58" t="s">
        <v>151</v>
      </c>
      <c r="M87" s="58" t="s">
        <v>154</v>
      </c>
      <c r="N87" s="58" t="s">
        <v>165</v>
      </c>
      <c r="O87" s="58" t="s">
        <v>156</v>
      </c>
      <c r="P87" s="58" t="str">
        <f t="shared" si="123"/>
        <v>D01S02</v>
      </c>
      <c r="Q87" s="58" t="str">
        <f t="shared" si="124"/>
        <v>P01V02</v>
      </c>
      <c r="R87" s="58" t="str">
        <f t="shared" si="125"/>
        <v>D01S02P01V02</v>
      </c>
    </row>
    <row r="88" spans="3:18" x14ac:dyDescent="0.25">
      <c r="C88" s="58" t="s">
        <v>152</v>
      </c>
      <c r="D88" s="58" t="s">
        <v>154</v>
      </c>
      <c r="E88" s="58" t="s">
        <v>162</v>
      </c>
      <c r="F88" s="58" t="s">
        <v>158</v>
      </c>
      <c r="G88" s="58" t="s">
        <v>460</v>
      </c>
      <c r="H88" s="58" t="s">
        <v>484</v>
      </c>
      <c r="I88" s="58" t="s">
        <v>550</v>
      </c>
      <c r="J88" s="50"/>
      <c r="L88" s="58" t="s">
        <v>151</v>
      </c>
      <c r="M88" s="58" t="s">
        <v>154</v>
      </c>
      <c r="N88" s="58" t="s">
        <v>166</v>
      </c>
      <c r="O88" s="58" t="s">
        <v>156</v>
      </c>
      <c r="P88" s="58" t="str">
        <f t="shared" si="123"/>
        <v>D01S02</v>
      </c>
      <c r="Q88" s="58" t="str">
        <f t="shared" si="124"/>
        <v>P01V03</v>
      </c>
      <c r="R88" s="58" t="str">
        <f t="shared" si="125"/>
        <v>D01S02P01V03</v>
      </c>
    </row>
    <row r="89" spans="3:18" x14ac:dyDescent="0.25">
      <c r="C89" s="58" t="s">
        <v>152</v>
      </c>
      <c r="D89" s="58" t="s">
        <v>154</v>
      </c>
      <c r="E89" s="58" t="s">
        <v>163</v>
      </c>
      <c r="F89" s="58" t="s">
        <v>156</v>
      </c>
      <c r="G89" s="58" t="s">
        <v>460</v>
      </c>
      <c r="H89" s="58" t="s">
        <v>445</v>
      </c>
      <c r="I89" s="58" t="s">
        <v>551</v>
      </c>
      <c r="J89" s="50"/>
      <c r="L89" s="58" t="s">
        <v>151</v>
      </c>
      <c r="M89" s="58" t="s">
        <v>154</v>
      </c>
      <c r="N89" s="58" t="s">
        <v>161</v>
      </c>
      <c r="O89" s="58" t="s">
        <v>156</v>
      </c>
      <c r="P89" s="58" t="str">
        <f t="shared" si="123"/>
        <v>D01S02</v>
      </c>
      <c r="Q89" s="58" t="str">
        <f t="shared" si="124"/>
        <v>P01V04</v>
      </c>
      <c r="R89" s="58" t="str">
        <f t="shared" si="125"/>
        <v>D01S02P01V04</v>
      </c>
    </row>
    <row r="90" spans="3:18" x14ac:dyDescent="0.25">
      <c r="C90" s="58" t="s">
        <v>152</v>
      </c>
      <c r="D90" s="58" t="s">
        <v>154</v>
      </c>
      <c r="E90" s="58" t="s">
        <v>163</v>
      </c>
      <c r="F90" s="58" t="s">
        <v>157</v>
      </c>
      <c r="G90" s="58" t="s">
        <v>460</v>
      </c>
      <c r="H90" s="58" t="s">
        <v>486</v>
      </c>
      <c r="I90" s="58" t="s">
        <v>552</v>
      </c>
      <c r="J90" s="50"/>
      <c r="L90" s="58" t="s">
        <v>151</v>
      </c>
      <c r="M90" s="58" t="s">
        <v>154</v>
      </c>
      <c r="N90" s="58" t="s">
        <v>162</v>
      </c>
      <c r="O90" s="58" t="s">
        <v>156</v>
      </c>
      <c r="P90" s="58" t="str">
        <f t="shared" si="123"/>
        <v>D01S02</v>
      </c>
      <c r="Q90" s="58" t="str">
        <f t="shared" si="124"/>
        <v>P01V05</v>
      </c>
      <c r="R90" s="58" t="str">
        <f t="shared" si="125"/>
        <v>D01S02P01V05</v>
      </c>
    </row>
    <row r="91" spans="3:18" x14ac:dyDescent="0.25">
      <c r="C91" s="58" t="s">
        <v>152</v>
      </c>
      <c r="D91" s="58" t="s">
        <v>154</v>
      </c>
      <c r="E91" s="58" t="s">
        <v>163</v>
      </c>
      <c r="F91" s="58" t="s">
        <v>158</v>
      </c>
      <c r="G91" s="58" t="s">
        <v>460</v>
      </c>
      <c r="H91" s="58" t="s">
        <v>488</v>
      </c>
      <c r="I91" s="58" t="s">
        <v>553</v>
      </c>
      <c r="J91" s="50"/>
      <c r="L91" s="58" t="s">
        <v>151</v>
      </c>
      <c r="M91" s="58" t="s">
        <v>154</v>
      </c>
      <c r="N91" s="58" t="s">
        <v>163</v>
      </c>
      <c r="O91" s="58" t="s">
        <v>156</v>
      </c>
      <c r="P91" s="58" t="str">
        <f t="shared" si="123"/>
        <v>D01S02</v>
      </c>
      <c r="Q91" s="58" t="str">
        <f t="shared" si="124"/>
        <v>P01V06</v>
      </c>
      <c r="R91" s="58" t="str">
        <f t="shared" si="125"/>
        <v>D01S02P01V06</v>
      </c>
    </row>
    <row r="92" spans="3:18" x14ac:dyDescent="0.25">
      <c r="C92" s="58" t="s">
        <v>152</v>
      </c>
      <c r="D92" s="58" t="s">
        <v>155</v>
      </c>
      <c r="E92" s="58" t="s">
        <v>164</v>
      </c>
      <c r="F92" s="58" t="s">
        <v>156</v>
      </c>
      <c r="G92" s="58" t="s">
        <v>463</v>
      </c>
      <c r="H92" s="58" t="s">
        <v>436</v>
      </c>
      <c r="I92" s="58" t="s">
        <v>464</v>
      </c>
      <c r="J92" s="50"/>
      <c r="L92" s="58" t="s">
        <v>151</v>
      </c>
      <c r="M92" s="58" t="s">
        <v>155</v>
      </c>
      <c r="N92" s="58" t="s">
        <v>164</v>
      </c>
      <c r="O92" s="58" t="s">
        <v>156</v>
      </c>
      <c r="P92" s="58" t="str">
        <f t="shared" si="123"/>
        <v>D01S03</v>
      </c>
      <c r="Q92" s="58" t="str">
        <f t="shared" si="124"/>
        <v>P01V01</v>
      </c>
      <c r="R92" s="58" t="str">
        <f t="shared" si="125"/>
        <v>D01S03P01V01</v>
      </c>
    </row>
    <row r="93" spans="3:18" x14ac:dyDescent="0.25">
      <c r="C93" s="58" t="s">
        <v>152</v>
      </c>
      <c r="D93" s="58" t="s">
        <v>155</v>
      </c>
      <c r="E93" s="58" t="s">
        <v>164</v>
      </c>
      <c r="F93" s="58" t="s">
        <v>157</v>
      </c>
      <c r="G93" s="58" t="s">
        <v>463</v>
      </c>
      <c r="H93" s="58" t="s">
        <v>467</v>
      </c>
      <c r="I93" s="58" t="s">
        <v>554</v>
      </c>
      <c r="J93" s="50"/>
      <c r="L93" s="58" t="s">
        <v>151</v>
      </c>
      <c r="M93" s="58" t="s">
        <v>155</v>
      </c>
      <c r="N93" s="58" t="s">
        <v>165</v>
      </c>
      <c r="O93" s="58" t="s">
        <v>156</v>
      </c>
      <c r="P93" s="58" t="str">
        <f t="shared" si="123"/>
        <v>D01S03</v>
      </c>
      <c r="Q93" s="58" t="str">
        <f t="shared" si="124"/>
        <v>P01V02</v>
      </c>
      <c r="R93" s="58" t="str">
        <f t="shared" si="125"/>
        <v>D01S03P01V02</v>
      </c>
    </row>
    <row r="94" spans="3:18" x14ac:dyDescent="0.25">
      <c r="C94" s="58" t="s">
        <v>152</v>
      </c>
      <c r="D94" s="58" t="s">
        <v>155</v>
      </c>
      <c r="E94" s="58" t="s">
        <v>164</v>
      </c>
      <c r="F94" s="58" t="s">
        <v>158</v>
      </c>
      <c r="G94" s="58" t="s">
        <v>463</v>
      </c>
      <c r="H94" s="58" t="s">
        <v>469</v>
      </c>
      <c r="I94" s="58" t="s">
        <v>555</v>
      </c>
      <c r="J94" s="50"/>
      <c r="L94" s="58" t="s">
        <v>151</v>
      </c>
      <c r="M94" s="58" t="s">
        <v>155</v>
      </c>
      <c r="N94" s="58" t="s">
        <v>166</v>
      </c>
      <c r="O94" s="58" t="s">
        <v>156</v>
      </c>
      <c r="P94" s="58" t="str">
        <f t="shared" si="123"/>
        <v>D01S03</v>
      </c>
      <c r="Q94" s="58" t="str">
        <f t="shared" si="124"/>
        <v>P01V03</v>
      </c>
      <c r="R94" s="58" t="str">
        <f t="shared" si="125"/>
        <v>D01S03P01V03</v>
      </c>
    </row>
    <row r="95" spans="3:18" x14ac:dyDescent="0.25">
      <c r="C95" s="58" t="s">
        <v>152</v>
      </c>
      <c r="D95" s="58" t="s">
        <v>155</v>
      </c>
      <c r="E95" s="58" t="s">
        <v>165</v>
      </c>
      <c r="F95" s="58" t="s">
        <v>156</v>
      </c>
      <c r="G95" s="58" t="s">
        <v>463</v>
      </c>
      <c r="H95" s="58" t="s">
        <v>437</v>
      </c>
      <c r="I95" s="58" t="s">
        <v>556</v>
      </c>
      <c r="J95" s="50"/>
      <c r="L95" s="58" t="s">
        <v>151</v>
      </c>
      <c r="M95" s="58" t="s">
        <v>155</v>
      </c>
      <c r="N95" s="58" t="s">
        <v>161</v>
      </c>
      <c r="O95" s="58" t="s">
        <v>156</v>
      </c>
      <c r="P95" s="58" t="str">
        <f t="shared" si="123"/>
        <v>D01S03</v>
      </c>
      <c r="Q95" s="58" t="str">
        <f t="shared" si="124"/>
        <v>P01V04</v>
      </c>
      <c r="R95" s="58" t="str">
        <f t="shared" si="125"/>
        <v>D01S03P01V04</v>
      </c>
    </row>
    <row r="96" spans="3:18" x14ac:dyDescent="0.25">
      <c r="C96" s="58" t="s">
        <v>152</v>
      </c>
      <c r="D96" s="58" t="s">
        <v>155</v>
      </c>
      <c r="E96" s="58" t="s">
        <v>165</v>
      </c>
      <c r="F96" s="58" t="s">
        <v>157</v>
      </c>
      <c r="G96" s="58" t="s">
        <v>463</v>
      </c>
      <c r="H96" s="58" t="s">
        <v>471</v>
      </c>
      <c r="I96" s="58" t="s">
        <v>557</v>
      </c>
      <c r="J96" s="50"/>
      <c r="L96" s="58" t="s">
        <v>151</v>
      </c>
      <c r="M96" s="58" t="s">
        <v>155</v>
      </c>
      <c r="N96" s="58" t="s">
        <v>162</v>
      </c>
      <c r="O96" s="58" t="s">
        <v>156</v>
      </c>
      <c r="P96" s="58" t="str">
        <f t="shared" si="123"/>
        <v>D01S03</v>
      </c>
      <c r="Q96" s="58" t="str">
        <f t="shared" si="124"/>
        <v>P01V05</v>
      </c>
      <c r="R96" s="58" t="str">
        <f t="shared" si="125"/>
        <v>D01S03P01V05</v>
      </c>
    </row>
    <row r="97" spans="3:18" x14ac:dyDescent="0.25">
      <c r="C97" s="58" t="s">
        <v>152</v>
      </c>
      <c r="D97" s="58" t="s">
        <v>155</v>
      </c>
      <c r="E97" s="58" t="s">
        <v>165</v>
      </c>
      <c r="F97" s="58" t="s">
        <v>158</v>
      </c>
      <c r="G97" s="58" t="s">
        <v>463</v>
      </c>
      <c r="H97" s="58" t="s">
        <v>472</v>
      </c>
      <c r="I97" s="58" t="s">
        <v>558</v>
      </c>
      <c r="J97" s="50"/>
      <c r="L97" s="58" t="s">
        <v>151</v>
      </c>
      <c r="M97" s="58" t="s">
        <v>155</v>
      </c>
      <c r="N97" s="58" t="s">
        <v>163</v>
      </c>
      <c r="O97" s="58" t="s">
        <v>156</v>
      </c>
      <c r="P97" s="58" t="str">
        <f t="shared" si="123"/>
        <v>D01S03</v>
      </c>
      <c r="Q97" s="58" t="str">
        <f t="shared" si="124"/>
        <v>P01V06</v>
      </c>
      <c r="R97" s="58" t="str">
        <f t="shared" si="125"/>
        <v>D01S03P01V06</v>
      </c>
    </row>
    <row r="98" spans="3:18" x14ac:dyDescent="0.25">
      <c r="C98" s="58" t="s">
        <v>152</v>
      </c>
      <c r="D98" s="58" t="s">
        <v>155</v>
      </c>
      <c r="E98" s="58" t="s">
        <v>166</v>
      </c>
      <c r="F98" s="58" t="s">
        <v>156</v>
      </c>
      <c r="G98" s="58" t="s">
        <v>463</v>
      </c>
      <c r="H98" s="58" t="s">
        <v>439</v>
      </c>
      <c r="I98" s="58" t="s">
        <v>559</v>
      </c>
      <c r="J98" s="50"/>
      <c r="L98" s="58" t="s">
        <v>152</v>
      </c>
      <c r="M98" s="58" t="s">
        <v>153</v>
      </c>
      <c r="N98" s="58" t="s">
        <v>164</v>
      </c>
      <c r="O98" s="58" t="s">
        <v>156</v>
      </c>
      <c r="P98" s="58" t="str">
        <f t="shared" si="123"/>
        <v>D02S01</v>
      </c>
      <c r="Q98" s="58" t="str">
        <f t="shared" si="124"/>
        <v>P01V01</v>
      </c>
      <c r="R98" s="58" t="str">
        <f t="shared" si="125"/>
        <v>D02S01P01V01</v>
      </c>
    </row>
    <row r="99" spans="3:18" x14ac:dyDescent="0.25">
      <c r="C99" s="58" t="s">
        <v>152</v>
      </c>
      <c r="D99" s="58" t="s">
        <v>155</v>
      </c>
      <c r="E99" s="58" t="s">
        <v>166</v>
      </c>
      <c r="F99" s="58" t="s">
        <v>157</v>
      </c>
      <c r="G99" s="58" t="s">
        <v>463</v>
      </c>
      <c r="H99" s="58" t="s">
        <v>474</v>
      </c>
      <c r="I99" s="58" t="s">
        <v>560</v>
      </c>
      <c r="J99" s="50"/>
      <c r="L99" s="58" t="s">
        <v>152</v>
      </c>
      <c r="M99" s="58" t="s">
        <v>153</v>
      </c>
      <c r="N99" s="58" t="s">
        <v>165</v>
      </c>
      <c r="O99" s="58" t="s">
        <v>156</v>
      </c>
      <c r="P99" s="58" t="str">
        <f t="shared" si="123"/>
        <v>D02S01</v>
      </c>
      <c r="Q99" s="58" t="str">
        <f t="shared" si="124"/>
        <v>P01V02</v>
      </c>
      <c r="R99" s="58" t="str">
        <f t="shared" si="125"/>
        <v>D02S01P01V02</v>
      </c>
    </row>
    <row r="100" spans="3:18" x14ac:dyDescent="0.25">
      <c r="C100" s="58" t="s">
        <v>152</v>
      </c>
      <c r="D100" s="58" t="s">
        <v>155</v>
      </c>
      <c r="E100" s="58" t="s">
        <v>166</v>
      </c>
      <c r="F100" s="58" t="s">
        <v>158</v>
      </c>
      <c r="G100" s="58" t="s">
        <v>463</v>
      </c>
      <c r="H100" s="58" t="s">
        <v>476</v>
      </c>
      <c r="I100" s="58" t="s">
        <v>561</v>
      </c>
      <c r="J100" s="50"/>
      <c r="L100" s="58" t="s">
        <v>152</v>
      </c>
      <c r="M100" s="58" t="s">
        <v>153</v>
      </c>
      <c r="N100" s="58" t="s">
        <v>166</v>
      </c>
      <c r="O100" s="58" t="s">
        <v>156</v>
      </c>
      <c r="P100" s="58" t="str">
        <f t="shared" si="123"/>
        <v>D02S01</v>
      </c>
      <c r="Q100" s="58" t="str">
        <f t="shared" si="124"/>
        <v>P01V03</v>
      </c>
      <c r="R100" s="58" t="str">
        <f t="shared" si="125"/>
        <v>D02S01P01V03</v>
      </c>
    </row>
    <row r="101" spans="3:18" x14ac:dyDescent="0.25">
      <c r="C101" s="58" t="s">
        <v>152</v>
      </c>
      <c r="D101" s="58" t="s">
        <v>155</v>
      </c>
      <c r="E101" s="58" t="s">
        <v>161</v>
      </c>
      <c r="F101" s="58" t="s">
        <v>156</v>
      </c>
      <c r="G101" s="58" t="s">
        <v>463</v>
      </c>
      <c r="H101" s="58" t="s">
        <v>441</v>
      </c>
      <c r="I101" s="58" t="s">
        <v>465</v>
      </c>
      <c r="J101" s="50"/>
      <c r="L101" s="58" t="s">
        <v>152</v>
      </c>
      <c r="M101" s="58" t="s">
        <v>153</v>
      </c>
      <c r="N101" s="58" t="s">
        <v>161</v>
      </c>
      <c r="O101" s="58" t="s">
        <v>156</v>
      </c>
      <c r="P101" s="58" t="str">
        <f t="shared" si="123"/>
        <v>D02S01</v>
      </c>
      <c r="Q101" s="58" t="str">
        <f t="shared" si="124"/>
        <v>P01V04</v>
      </c>
      <c r="R101" s="58" t="str">
        <f t="shared" si="125"/>
        <v>D02S01P01V04</v>
      </c>
    </row>
    <row r="102" spans="3:18" x14ac:dyDescent="0.25">
      <c r="C102" s="58" t="s">
        <v>152</v>
      </c>
      <c r="D102" s="58" t="s">
        <v>155</v>
      </c>
      <c r="E102" s="58" t="s">
        <v>161</v>
      </c>
      <c r="F102" s="58" t="s">
        <v>157</v>
      </c>
      <c r="G102" s="58" t="s">
        <v>463</v>
      </c>
      <c r="H102" s="58" t="s">
        <v>478</v>
      </c>
      <c r="I102" s="58" t="s">
        <v>562</v>
      </c>
      <c r="J102" s="50"/>
      <c r="L102" s="58" t="s">
        <v>152</v>
      </c>
      <c r="M102" s="58" t="s">
        <v>153</v>
      </c>
      <c r="N102" s="58" t="s">
        <v>162</v>
      </c>
      <c r="O102" s="58" t="s">
        <v>156</v>
      </c>
      <c r="P102" s="58" t="str">
        <f t="shared" si="123"/>
        <v>D02S01</v>
      </c>
      <c r="Q102" s="58" t="str">
        <f t="shared" si="124"/>
        <v>P01V05</v>
      </c>
      <c r="R102" s="58" t="str">
        <f t="shared" si="125"/>
        <v>D02S01P01V05</v>
      </c>
    </row>
    <row r="103" spans="3:18" x14ac:dyDescent="0.25">
      <c r="C103" s="58" t="s">
        <v>152</v>
      </c>
      <c r="D103" s="58" t="s">
        <v>155</v>
      </c>
      <c r="E103" s="58" t="s">
        <v>161</v>
      </c>
      <c r="F103" s="58" t="s">
        <v>158</v>
      </c>
      <c r="G103" s="58" t="s">
        <v>463</v>
      </c>
      <c r="H103" s="58" t="s">
        <v>480</v>
      </c>
      <c r="I103" s="58" t="s">
        <v>563</v>
      </c>
      <c r="J103" s="50"/>
      <c r="L103" s="58" t="s">
        <v>152</v>
      </c>
      <c r="M103" s="58" t="s">
        <v>153</v>
      </c>
      <c r="N103" s="58" t="s">
        <v>163</v>
      </c>
      <c r="O103" s="58" t="s">
        <v>156</v>
      </c>
      <c r="P103" s="58" t="str">
        <f t="shared" si="123"/>
        <v>D02S01</v>
      </c>
      <c r="Q103" s="58" t="str">
        <f t="shared" si="124"/>
        <v>P01V06</v>
      </c>
      <c r="R103" s="58" t="str">
        <f t="shared" si="125"/>
        <v>D02S01P01V06</v>
      </c>
    </row>
    <row r="104" spans="3:18" x14ac:dyDescent="0.25">
      <c r="C104" s="58" t="s">
        <v>152</v>
      </c>
      <c r="D104" s="58" t="s">
        <v>155</v>
      </c>
      <c r="E104" s="58" t="s">
        <v>162</v>
      </c>
      <c r="F104" s="58" t="s">
        <v>156</v>
      </c>
      <c r="G104" s="58" t="s">
        <v>463</v>
      </c>
      <c r="H104" s="58" t="s">
        <v>443</v>
      </c>
      <c r="I104" s="58" t="s">
        <v>564</v>
      </c>
      <c r="J104" s="50"/>
      <c r="L104" s="58" t="s">
        <v>152</v>
      </c>
      <c r="M104" s="58" t="s">
        <v>154</v>
      </c>
      <c r="N104" s="58" t="s">
        <v>164</v>
      </c>
      <c r="O104" s="58" t="s">
        <v>156</v>
      </c>
      <c r="P104" s="58" t="str">
        <f t="shared" si="123"/>
        <v>D02S02</v>
      </c>
      <c r="Q104" s="58" t="str">
        <f t="shared" si="124"/>
        <v>P01V01</v>
      </c>
      <c r="R104" s="58" t="str">
        <f t="shared" si="125"/>
        <v>D02S02P01V01</v>
      </c>
    </row>
    <row r="105" spans="3:18" x14ac:dyDescent="0.25">
      <c r="C105" s="58" t="s">
        <v>152</v>
      </c>
      <c r="D105" s="58" t="s">
        <v>155</v>
      </c>
      <c r="E105" s="58" t="s">
        <v>162</v>
      </c>
      <c r="F105" s="58" t="s">
        <v>157</v>
      </c>
      <c r="G105" s="58" t="s">
        <v>463</v>
      </c>
      <c r="H105" s="58" t="s">
        <v>482</v>
      </c>
      <c r="I105" s="58" t="s">
        <v>565</v>
      </c>
      <c r="J105" s="50"/>
      <c r="L105" s="58" t="s">
        <v>152</v>
      </c>
      <c r="M105" s="58" t="s">
        <v>154</v>
      </c>
      <c r="N105" s="58" t="s">
        <v>165</v>
      </c>
      <c r="O105" s="58" t="s">
        <v>156</v>
      </c>
      <c r="P105" s="58" t="str">
        <f t="shared" si="123"/>
        <v>D02S02</v>
      </c>
      <c r="Q105" s="58" t="str">
        <f t="shared" si="124"/>
        <v>P01V02</v>
      </c>
      <c r="R105" s="58" t="str">
        <f t="shared" si="125"/>
        <v>D02S02P01V02</v>
      </c>
    </row>
    <row r="106" spans="3:18" x14ac:dyDescent="0.25">
      <c r="C106" s="58" t="s">
        <v>152</v>
      </c>
      <c r="D106" s="58" t="s">
        <v>155</v>
      </c>
      <c r="E106" s="58" t="s">
        <v>162</v>
      </c>
      <c r="F106" s="58" t="s">
        <v>158</v>
      </c>
      <c r="G106" s="58" t="s">
        <v>463</v>
      </c>
      <c r="H106" s="58" t="s">
        <v>484</v>
      </c>
      <c r="I106" s="58" t="s">
        <v>566</v>
      </c>
      <c r="J106" s="50"/>
      <c r="L106" s="58" t="s">
        <v>152</v>
      </c>
      <c r="M106" s="58" t="s">
        <v>154</v>
      </c>
      <c r="N106" s="58" t="s">
        <v>166</v>
      </c>
      <c r="O106" s="58" t="s">
        <v>156</v>
      </c>
      <c r="P106" s="58" t="str">
        <f t="shared" si="123"/>
        <v>D02S02</v>
      </c>
      <c r="Q106" s="58" t="str">
        <f t="shared" si="124"/>
        <v>P01V03</v>
      </c>
      <c r="R106" s="58" t="str">
        <f t="shared" si="125"/>
        <v>D02S02P01V03</v>
      </c>
    </row>
    <row r="107" spans="3:18" x14ac:dyDescent="0.25">
      <c r="C107" s="58" t="s">
        <v>152</v>
      </c>
      <c r="D107" s="58" t="s">
        <v>155</v>
      </c>
      <c r="E107" s="58" t="s">
        <v>163</v>
      </c>
      <c r="F107" s="58" t="s">
        <v>156</v>
      </c>
      <c r="G107" s="58" t="s">
        <v>463</v>
      </c>
      <c r="H107" s="58" t="s">
        <v>445</v>
      </c>
      <c r="I107" s="58" t="s">
        <v>567</v>
      </c>
      <c r="J107" s="50"/>
      <c r="L107" s="58" t="s">
        <v>152</v>
      </c>
      <c r="M107" s="58" t="s">
        <v>154</v>
      </c>
      <c r="N107" s="58" t="s">
        <v>161</v>
      </c>
      <c r="O107" s="58" t="s">
        <v>156</v>
      </c>
      <c r="P107" s="58" t="str">
        <f t="shared" si="123"/>
        <v>D02S02</v>
      </c>
      <c r="Q107" s="58" t="str">
        <f t="shared" si="124"/>
        <v>P01V04</v>
      </c>
      <c r="R107" s="58" t="str">
        <f t="shared" si="125"/>
        <v>D02S02P01V04</v>
      </c>
    </row>
    <row r="108" spans="3:18" x14ac:dyDescent="0.25">
      <c r="C108" s="58" t="s">
        <v>152</v>
      </c>
      <c r="D108" s="58" t="s">
        <v>155</v>
      </c>
      <c r="E108" s="58" t="s">
        <v>163</v>
      </c>
      <c r="F108" s="58" t="s">
        <v>157</v>
      </c>
      <c r="G108" s="58" t="s">
        <v>463</v>
      </c>
      <c r="H108" s="58" t="s">
        <v>486</v>
      </c>
      <c r="I108" s="58" t="s">
        <v>568</v>
      </c>
      <c r="J108" s="50"/>
      <c r="L108" s="58" t="s">
        <v>152</v>
      </c>
      <c r="M108" s="58" t="s">
        <v>154</v>
      </c>
      <c r="N108" s="58" t="s">
        <v>162</v>
      </c>
      <c r="O108" s="58" t="s">
        <v>156</v>
      </c>
      <c r="P108" s="58" t="str">
        <f t="shared" si="123"/>
        <v>D02S02</v>
      </c>
      <c r="Q108" s="58" t="str">
        <f t="shared" si="124"/>
        <v>P01V05</v>
      </c>
      <c r="R108" s="58" t="str">
        <f t="shared" si="125"/>
        <v>D02S02P01V05</v>
      </c>
    </row>
    <row r="109" spans="3:18" x14ac:dyDescent="0.25">
      <c r="C109" s="58" t="s">
        <v>152</v>
      </c>
      <c r="D109" s="58" t="s">
        <v>155</v>
      </c>
      <c r="E109" s="58" t="s">
        <v>163</v>
      </c>
      <c r="F109" s="58" t="s">
        <v>158</v>
      </c>
      <c r="G109" s="58" t="s">
        <v>463</v>
      </c>
      <c r="H109" s="58" t="s">
        <v>488</v>
      </c>
      <c r="I109" s="58" t="s">
        <v>569</v>
      </c>
      <c r="J109" s="50"/>
      <c r="L109" s="58" t="s">
        <v>152</v>
      </c>
      <c r="M109" s="58" t="s">
        <v>154</v>
      </c>
      <c r="N109" s="58" t="s">
        <v>163</v>
      </c>
      <c r="O109" s="58" t="s">
        <v>156</v>
      </c>
      <c r="P109" s="58" t="str">
        <f t="shared" si="123"/>
        <v>D02S02</v>
      </c>
      <c r="Q109" s="58" t="str">
        <f t="shared" si="124"/>
        <v>P01V06</v>
      </c>
      <c r="R109" s="58" t="str">
        <f t="shared" si="125"/>
        <v>D02S02P01V06</v>
      </c>
    </row>
    <row r="110" spans="3:18" x14ac:dyDescent="0.25">
      <c r="C110" s="58" t="s">
        <v>151</v>
      </c>
      <c r="D110" s="58" t="s">
        <v>153</v>
      </c>
      <c r="E110" s="58" t="s">
        <v>164</v>
      </c>
      <c r="F110" s="58" t="s">
        <v>159</v>
      </c>
      <c r="G110" s="58" t="s">
        <v>435</v>
      </c>
      <c r="H110" s="58" t="s">
        <v>570</v>
      </c>
      <c r="I110" s="58" t="s">
        <v>571</v>
      </c>
      <c r="J110" s="50"/>
      <c r="L110" s="58" t="s">
        <v>152</v>
      </c>
      <c r="M110" s="58" t="s">
        <v>155</v>
      </c>
      <c r="N110" s="58" t="s">
        <v>164</v>
      </c>
      <c r="O110" s="58" t="s">
        <v>156</v>
      </c>
      <c r="P110" s="58" t="str">
        <f t="shared" si="123"/>
        <v>D02S03</v>
      </c>
      <c r="Q110" s="58" t="str">
        <f t="shared" si="124"/>
        <v>P01V01</v>
      </c>
      <c r="R110" s="58" t="str">
        <f t="shared" si="125"/>
        <v>D02S03P01V01</v>
      </c>
    </row>
    <row r="111" spans="3:18" x14ac:dyDescent="0.25">
      <c r="C111" s="58" t="s">
        <v>151</v>
      </c>
      <c r="D111" s="58" t="s">
        <v>154</v>
      </c>
      <c r="E111" s="58" t="s">
        <v>164</v>
      </c>
      <c r="F111" s="58" t="s">
        <v>159</v>
      </c>
      <c r="G111" s="58" t="s">
        <v>447</v>
      </c>
      <c r="H111" s="58" t="s">
        <v>570</v>
      </c>
      <c r="I111" s="58" t="s">
        <v>572</v>
      </c>
      <c r="J111" s="50"/>
      <c r="L111" s="58" t="s">
        <v>152</v>
      </c>
      <c r="M111" s="58" t="s">
        <v>155</v>
      </c>
      <c r="N111" s="58" t="s">
        <v>165</v>
      </c>
      <c r="O111" s="58" t="s">
        <v>156</v>
      </c>
      <c r="P111" s="58" t="str">
        <f t="shared" si="123"/>
        <v>D02S03</v>
      </c>
      <c r="Q111" s="58" t="str">
        <f t="shared" si="124"/>
        <v>P01V02</v>
      </c>
      <c r="R111" s="58" t="str">
        <f t="shared" si="125"/>
        <v>D02S03P01V02</v>
      </c>
    </row>
    <row r="112" spans="3:18" x14ac:dyDescent="0.25">
      <c r="C112" s="58" t="s">
        <v>151</v>
      </c>
      <c r="D112" s="58" t="s">
        <v>155</v>
      </c>
      <c r="E112" s="58" t="s">
        <v>164</v>
      </c>
      <c r="F112" s="58" t="s">
        <v>159</v>
      </c>
      <c r="G112" s="58" t="s">
        <v>450</v>
      </c>
      <c r="H112" s="58" t="s">
        <v>570</v>
      </c>
      <c r="I112" s="58" t="s">
        <v>573</v>
      </c>
      <c r="J112" s="50"/>
      <c r="L112" s="58" t="s">
        <v>152</v>
      </c>
      <c r="M112" s="58" t="s">
        <v>155</v>
      </c>
      <c r="N112" s="58" t="s">
        <v>166</v>
      </c>
      <c r="O112" s="58" t="s">
        <v>156</v>
      </c>
      <c r="P112" s="58" t="str">
        <f t="shared" si="123"/>
        <v>D02S03</v>
      </c>
      <c r="Q112" s="58" t="str">
        <f t="shared" si="124"/>
        <v>P01V03</v>
      </c>
      <c r="R112" s="58" t="str">
        <f t="shared" si="125"/>
        <v>D02S03P01V03</v>
      </c>
    </row>
    <row r="113" spans="3:18" x14ac:dyDescent="0.25">
      <c r="C113" s="58" t="s">
        <v>152</v>
      </c>
      <c r="D113" s="58" t="s">
        <v>153</v>
      </c>
      <c r="E113" s="58" t="s">
        <v>164</v>
      </c>
      <c r="F113" s="58" t="s">
        <v>159</v>
      </c>
      <c r="G113" s="58" t="s">
        <v>453</v>
      </c>
      <c r="H113" s="58" t="s">
        <v>570</v>
      </c>
      <c r="I113" s="58" t="s">
        <v>574</v>
      </c>
      <c r="J113" s="50"/>
      <c r="L113" s="58" t="s">
        <v>152</v>
      </c>
      <c r="M113" s="58" t="s">
        <v>155</v>
      </c>
      <c r="N113" s="58" t="s">
        <v>161</v>
      </c>
      <c r="O113" s="58" t="s">
        <v>156</v>
      </c>
      <c r="P113" s="58" t="str">
        <f t="shared" si="123"/>
        <v>D02S03</v>
      </c>
      <c r="Q113" s="58" t="str">
        <f t="shared" si="124"/>
        <v>P01V04</v>
      </c>
      <c r="R113" s="58" t="str">
        <f t="shared" si="125"/>
        <v>D02S03P01V04</v>
      </c>
    </row>
    <row r="114" spans="3:18" x14ac:dyDescent="0.25">
      <c r="C114" s="58" t="s">
        <v>152</v>
      </c>
      <c r="D114" s="58" t="s">
        <v>154</v>
      </c>
      <c r="E114" s="58" t="s">
        <v>164</v>
      </c>
      <c r="F114" s="58" t="s">
        <v>159</v>
      </c>
      <c r="G114" s="58" t="s">
        <v>460</v>
      </c>
      <c r="H114" s="58" t="s">
        <v>570</v>
      </c>
      <c r="I114" s="58" t="s">
        <v>575</v>
      </c>
      <c r="J114" s="50"/>
      <c r="L114" s="58" t="s">
        <v>152</v>
      </c>
      <c r="M114" s="58" t="s">
        <v>155</v>
      </c>
      <c r="N114" s="58" t="s">
        <v>162</v>
      </c>
      <c r="O114" s="58" t="s">
        <v>156</v>
      </c>
      <c r="P114" s="58" t="str">
        <f t="shared" si="123"/>
        <v>D02S03</v>
      </c>
      <c r="Q114" s="58" t="str">
        <f t="shared" si="124"/>
        <v>P01V05</v>
      </c>
      <c r="R114" s="58" t="str">
        <f t="shared" si="125"/>
        <v>D02S03P01V05</v>
      </c>
    </row>
    <row r="115" spans="3:18" x14ac:dyDescent="0.25">
      <c r="C115" s="58" t="s">
        <v>152</v>
      </c>
      <c r="D115" s="58" t="s">
        <v>155</v>
      </c>
      <c r="E115" s="58" t="s">
        <v>164</v>
      </c>
      <c r="F115" s="58" t="s">
        <v>159</v>
      </c>
      <c r="G115" s="58" t="s">
        <v>463</v>
      </c>
      <c r="H115" s="58" t="s">
        <v>570</v>
      </c>
      <c r="I115" s="58" t="s">
        <v>576</v>
      </c>
      <c r="J115" s="50"/>
      <c r="L115" s="58" t="s">
        <v>152</v>
      </c>
      <c r="M115" s="58" t="s">
        <v>155</v>
      </c>
      <c r="N115" s="58" t="s">
        <v>163</v>
      </c>
      <c r="O115" s="58" t="s">
        <v>156</v>
      </c>
      <c r="P115" s="58" t="str">
        <f t="shared" si="123"/>
        <v>D02S03</v>
      </c>
      <c r="Q115" s="58" t="str">
        <f t="shared" si="124"/>
        <v>P01V06</v>
      </c>
      <c r="R115" s="58" t="str">
        <f t="shared" si="125"/>
        <v>D02S03P01V06</v>
      </c>
    </row>
    <row r="116" spans="3:18" x14ac:dyDescent="0.25">
      <c r="C116" s="58"/>
      <c r="D116" s="58"/>
      <c r="E116" s="58"/>
      <c r="F116" s="58"/>
      <c r="G116" s="58"/>
      <c r="H116" s="58"/>
      <c r="I116" s="58"/>
    </row>
    <row r="117" spans="3:18" x14ac:dyDescent="0.25">
      <c r="C117" s="58"/>
      <c r="D117" s="58"/>
      <c r="E117" s="58"/>
      <c r="F117" s="58"/>
      <c r="G117" s="58"/>
      <c r="H117" s="58"/>
      <c r="I117" s="58"/>
    </row>
    <row r="118" spans="3:18" x14ac:dyDescent="0.25">
      <c r="C118" s="58"/>
      <c r="D118" s="58"/>
      <c r="E118" s="58"/>
      <c r="F118" s="58"/>
      <c r="G118" s="58"/>
      <c r="H118" s="58"/>
      <c r="I118" s="58"/>
    </row>
    <row r="119" spans="3:18" x14ac:dyDescent="0.25">
      <c r="C119" s="58"/>
      <c r="D119" s="58"/>
      <c r="E119" s="58"/>
      <c r="F119" s="58"/>
      <c r="G119" s="58"/>
      <c r="H119" s="58"/>
      <c r="I119" s="58"/>
    </row>
    <row r="120" spans="3:18" x14ac:dyDescent="0.25">
      <c r="C120" s="58"/>
      <c r="D120" s="58"/>
      <c r="E120" s="58"/>
      <c r="F120" s="58"/>
      <c r="G120" s="58"/>
      <c r="H120" s="58"/>
      <c r="I120" s="58"/>
    </row>
    <row r="121" spans="3:18" x14ac:dyDescent="0.25">
      <c r="C121" s="58"/>
      <c r="D121" s="58"/>
      <c r="E121" s="58"/>
      <c r="F121" s="58"/>
      <c r="G121" s="58"/>
      <c r="H121" s="58"/>
      <c r="I121" s="58"/>
    </row>
    <row r="122" spans="3:18" x14ac:dyDescent="0.25">
      <c r="C122" s="58"/>
      <c r="D122" s="58"/>
      <c r="E122" s="58"/>
      <c r="F122" s="58"/>
      <c r="G122" s="58"/>
      <c r="H122" s="58"/>
      <c r="I122" s="58"/>
    </row>
    <row r="123" spans="3:18" x14ac:dyDescent="0.25">
      <c r="C123" s="58"/>
      <c r="D123" s="58"/>
      <c r="E123" s="58"/>
      <c r="F123" s="58"/>
      <c r="G123" s="58"/>
      <c r="H123" s="58"/>
      <c r="I123" s="58"/>
    </row>
    <row r="124" spans="3:18" x14ac:dyDescent="0.25">
      <c r="C124" s="58"/>
      <c r="D124" s="58"/>
      <c r="E124" s="58"/>
      <c r="F124" s="58"/>
      <c r="G124" s="58"/>
      <c r="H124" s="58"/>
      <c r="I124" s="58"/>
    </row>
    <row r="125" spans="3:18" x14ac:dyDescent="0.25">
      <c r="C125" s="58"/>
      <c r="D125" s="58"/>
      <c r="E125" s="58"/>
      <c r="F125" s="58"/>
      <c r="G125" s="58"/>
      <c r="H125" s="58"/>
      <c r="I125" s="58"/>
    </row>
    <row r="126" spans="3:18" x14ac:dyDescent="0.25">
      <c r="C126" s="58"/>
      <c r="D126" s="58"/>
      <c r="E126" s="58"/>
      <c r="F126" s="58"/>
      <c r="G126" s="58"/>
      <c r="H126" s="58"/>
      <c r="I126" s="58"/>
    </row>
    <row r="127" spans="3:18" x14ac:dyDescent="0.25">
      <c r="C127" s="58"/>
      <c r="D127" s="58"/>
      <c r="E127" s="58"/>
      <c r="F127" s="58"/>
      <c r="G127" s="58"/>
      <c r="H127" s="58"/>
      <c r="I127" s="58"/>
    </row>
    <row r="128" spans="3:18" x14ac:dyDescent="0.25">
      <c r="C128" s="58"/>
      <c r="D128" s="58"/>
      <c r="E128" s="58"/>
      <c r="F128" s="58"/>
      <c r="G128" s="58"/>
      <c r="H128" s="58"/>
      <c r="I128" s="58"/>
    </row>
    <row r="129" spans="3:9" x14ac:dyDescent="0.25">
      <c r="C129" s="58"/>
      <c r="D129" s="58"/>
      <c r="E129" s="58"/>
      <c r="F129" s="58"/>
      <c r="G129" s="58"/>
      <c r="H129" s="58"/>
      <c r="I129" s="58"/>
    </row>
    <row r="130" spans="3:9" x14ac:dyDescent="0.25">
      <c r="C130" s="58"/>
      <c r="D130" s="58"/>
      <c r="E130" s="58"/>
      <c r="F130" s="58"/>
      <c r="G130" s="58"/>
      <c r="H130" s="58"/>
      <c r="I130" s="58"/>
    </row>
    <row r="131" spans="3:9" x14ac:dyDescent="0.25">
      <c r="C131" s="58"/>
      <c r="D131" s="58"/>
      <c r="E131" s="58"/>
      <c r="F131" s="58"/>
      <c r="G131" s="58"/>
      <c r="H131" s="58"/>
      <c r="I131" s="58"/>
    </row>
    <row r="132" spans="3:9" x14ac:dyDescent="0.25">
      <c r="C132" s="58"/>
      <c r="D132" s="58"/>
      <c r="E132" s="58"/>
      <c r="F132" s="58"/>
      <c r="G132" s="58"/>
      <c r="H132" s="58"/>
      <c r="I132" s="58"/>
    </row>
    <row r="133" spans="3:9" x14ac:dyDescent="0.25">
      <c r="C133" s="58"/>
      <c r="D133" s="58"/>
      <c r="E133" s="58"/>
      <c r="F133" s="58"/>
      <c r="G133" s="58"/>
      <c r="H133" s="58"/>
      <c r="I133" s="58"/>
    </row>
    <row r="134" spans="3:9" x14ac:dyDescent="0.25">
      <c r="C134" s="58"/>
      <c r="D134" s="58"/>
      <c r="E134" s="58"/>
      <c r="F134" s="58"/>
      <c r="G134" s="58"/>
      <c r="H134" s="58"/>
      <c r="I134" s="58"/>
    </row>
    <row r="135" spans="3:9" x14ac:dyDescent="0.25">
      <c r="C135" s="58"/>
      <c r="D135" s="58"/>
      <c r="E135" s="58"/>
      <c r="F135" s="58"/>
      <c r="G135" s="58"/>
      <c r="H135" s="58"/>
      <c r="I135" s="58"/>
    </row>
    <row r="136" spans="3:9" x14ac:dyDescent="0.25">
      <c r="C136" s="58"/>
      <c r="D136" s="58"/>
      <c r="E136" s="58"/>
      <c r="F136" s="58"/>
      <c r="G136" s="58"/>
      <c r="H136" s="58"/>
      <c r="I136" s="58"/>
    </row>
    <row r="137" spans="3:9" x14ac:dyDescent="0.25">
      <c r="C137" s="58"/>
      <c r="D137" s="58"/>
      <c r="E137" s="58"/>
      <c r="F137" s="58"/>
      <c r="G137" s="58"/>
      <c r="H137" s="58"/>
      <c r="I137" s="58"/>
    </row>
    <row r="138" spans="3:9" x14ac:dyDescent="0.25">
      <c r="C138" s="58"/>
      <c r="D138" s="58"/>
      <c r="E138" s="58"/>
      <c r="F138" s="58"/>
      <c r="G138" s="58"/>
      <c r="H138" s="58"/>
      <c r="I138" s="58"/>
    </row>
    <row r="139" spans="3:9" x14ac:dyDescent="0.25">
      <c r="C139" s="58"/>
      <c r="D139" s="58"/>
      <c r="E139" s="58"/>
      <c r="F139" s="58"/>
      <c r="G139" s="58"/>
      <c r="H139" s="58"/>
      <c r="I139" s="58"/>
    </row>
    <row r="140" spans="3:9" x14ac:dyDescent="0.25">
      <c r="C140" s="58"/>
      <c r="D140" s="58"/>
      <c r="E140" s="58"/>
      <c r="F140" s="58"/>
      <c r="G140" s="58"/>
      <c r="H140" s="58"/>
      <c r="I140" s="58"/>
    </row>
    <row r="141" spans="3:9" x14ac:dyDescent="0.25">
      <c r="C141" s="58"/>
      <c r="D141" s="58"/>
      <c r="E141" s="58"/>
      <c r="F141" s="58"/>
      <c r="G141" s="58"/>
      <c r="H141" s="58"/>
      <c r="I141" s="58"/>
    </row>
    <row r="142" spans="3:9" x14ac:dyDescent="0.25">
      <c r="C142" s="58"/>
      <c r="D142" s="58"/>
      <c r="E142" s="58"/>
      <c r="F142" s="58"/>
      <c r="G142" s="58"/>
      <c r="H142" s="58"/>
      <c r="I142" s="58"/>
    </row>
    <row r="143" spans="3:9" x14ac:dyDescent="0.25">
      <c r="C143" s="58"/>
      <c r="D143" s="58"/>
      <c r="E143" s="58"/>
      <c r="F143" s="58"/>
      <c r="G143" s="58"/>
      <c r="H143" s="58"/>
      <c r="I143" s="58"/>
    </row>
    <row r="144" spans="3:9" x14ac:dyDescent="0.25">
      <c r="C144" s="58"/>
      <c r="D144" s="58"/>
      <c r="E144" s="58"/>
      <c r="F144" s="58"/>
      <c r="G144" s="58"/>
      <c r="H144" s="58"/>
      <c r="I144" s="58"/>
    </row>
    <row r="145" spans="3:9" x14ac:dyDescent="0.25">
      <c r="C145" s="58"/>
      <c r="D145" s="58"/>
      <c r="E145" s="58"/>
      <c r="F145" s="58"/>
      <c r="G145" s="58"/>
      <c r="H145" s="58"/>
      <c r="I145" s="58"/>
    </row>
    <row r="146" spans="3:9" x14ac:dyDescent="0.25">
      <c r="C146" s="58"/>
      <c r="D146" s="58"/>
      <c r="E146" s="58"/>
      <c r="F146" s="58"/>
      <c r="G146" s="58"/>
      <c r="H146" s="58"/>
      <c r="I146" s="58"/>
    </row>
    <row r="147" spans="3:9" x14ac:dyDescent="0.25">
      <c r="C147" s="58"/>
      <c r="D147" s="58"/>
      <c r="E147" s="58"/>
      <c r="F147" s="58"/>
      <c r="G147" s="58"/>
      <c r="H147" s="58"/>
      <c r="I147" s="58"/>
    </row>
    <row r="148" spans="3:9" x14ac:dyDescent="0.25">
      <c r="C148" s="58"/>
      <c r="D148" s="58"/>
      <c r="E148" s="58"/>
      <c r="F148" s="58"/>
      <c r="G148" s="58"/>
      <c r="H148" s="58"/>
      <c r="I148" s="58"/>
    </row>
    <row r="149" spans="3:9" x14ac:dyDescent="0.25">
      <c r="C149" s="58"/>
      <c r="D149" s="58"/>
      <c r="E149" s="58"/>
      <c r="F149" s="58"/>
      <c r="G149" s="58"/>
      <c r="H149" s="58"/>
      <c r="I149" s="58"/>
    </row>
    <row r="150" spans="3:9" x14ac:dyDescent="0.25">
      <c r="C150" s="58"/>
      <c r="D150" s="58"/>
      <c r="E150" s="58"/>
      <c r="F150" s="58"/>
      <c r="G150" s="58"/>
      <c r="H150" s="58"/>
      <c r="I150" s="58"/>
    </row>
    <row r="151" spans="3:9" x14ac:dyDescent="0.25">
      <c r="C151" s="58"/>
      <c r="D151" s="58"/>
      <c r="E151" s="58"/>
      <c r="F151" s="58"/>
      <c r="G151" s="58"/>
      <c r="H151" s="58"/>
      <c r="I151" s="58"/>
    </row>
  </sheetData>
  <sortState xmlns:xlrd2="http://schemas.microsoft.com/office/spreadsheetml/2017/richdata2" ref="C2:I107">
    <sortCondition ref="C2:C107"/>
    <sortCondition ref="D2:D107"/>
    <sortCondition ref="E2:E107"/>
    <sortCondition ref="F2:F107"/>
  </sortState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6FAC-F804-41CC-8DDF-E1F40D404A6C}">
  <sheetPr codeName="Feuil3"/>
  <dimension ref="A1:Y202"/>
  <sheetViews>
    <sheetView workbookViewId="0">
      <selection activeCell="C171" sqref="C171"/>
    </sheetView>
  </sheetViews>
  <sheetFormatPr baseColWidth="10" defaultRowHeight="15.75" x14ac:dyDescent="0.25"/>
  <sheetData>
    <row r="1" spans="1:25" x14ac:dyDescent="0.25">
      <c r="A1" s="53" t="s">
        <v>88</v>
      </c>
      <c r="C1" s="6" t="s">
        <v>190</v>
      </c>
      <c r="D1" s="6" t="s">
        <v>413</v>
      </c>
      <c r="E1" s="6" t="s">
        <v>334</v>
      </c>
      <c r="F1" s="6" t="s">
        <v>335</v>
      </c>
      <c r="G1" s="6" t="s">
        <v>336</v>
      </c>
      <c r="H1" s="6" t="s">
        <v>337</v>
      </c>
      <c r="I1" s="6" t="s">
        <v>338</v>
      </c>
      <c r="J1" s="6" t="s">
        <v>339</v>
      </c>
      <c r="K1" s="6" t="s">
        <v>340</v>
      </c>
      <c r="L1" s="6" t="s">
        <v>341</v>
      </c>
      <c r="M1" s="6" t="s">
        <v>342</v>
      </c>
      <c r="N1" s="6" t="s">
        <v>343</v>
      </c>
      <c r="O1" s="6" t="s">
        <v>344</v>
      </c>
      <c r="P1" s="6" t="s">
        <v>345</v>
      </c>
      <c r="Q1" s="6" t="s">
        <v>346</v>
      </c>
      <c r="R1" s="6" t="s">
        <v>347</v>
      </c>
      <c r="S1" s="6" t="s">
        <v>348</v>
      </c>
      <c r="T1" s="6" t="s">
        <v>349</v>
      </c>
      <c r="U1" s="6" t="s">
        <v>350</v>
      </c>
      <c r="V1" s="6" t="s">
        <v>351</v>
      </c>
      <c r="W1" s="6" t="s">
        <v>352</v>
      </c>
      <c r="X1" s="6" t="s">
        <v>353</v>
      </c>
      <c r="Y1" s="6" t="s">
        <v>354</v>
      </c>
    </row>
    <row r="2" spans="1:25" x14ac:dyDescent="0.25">
      <c r="A2" s="54" t="s">
        <v>191</v>
      </c>
      <c r="C2" t="s">
        <v>355</v>
      </c>
      <c r="D2">
        <v>108</v>
      </c>
      <c r="E2">
        <v>2053.84</v>
      </c>
      <c r="F2">
        <v>1818.607</v>
      </c>
      <c r="G2">
        <v>1508.36</v>
      </c>
      <c r="H2">
        <v>1216.932</v>
      </c>
      <c r="I2">
        <v>1042.77</v>
      </c>
      <c r="J2">
        <v>986.81100000000004</v>
      </c>
      <c r="K2">
        <v>875.16899999999998</v>
      </c>
      <c r="L2">
        <v>664.37800000000004</v>
      </c>
      <c r="M2">
        <v>446.70499999999998</v>
      </c>
      <c r="N2">
        <v>300.92700000000002</v>
      </c>
      <c r="O2">
        <v>259.78800000000001</v>
      </c>
      <c r="P2">
        <v>232.18600000000001</v>
      </c>
      <c r="Q2">
        <v>201.291</v>
      </c>
      <c r="R2">
        <v>138.34</v>
      </c>
      <c r="S2">
        <v>70.37</v>
      </c>
      <c r="T2">
        <v>41.759</v>
      </c>
      <c r="U2">
        <v>21.866</v>
      </c>
      <c r="V2">
        <v>8.4350000000000005</v>
      </c>
      <c r="W2">
        <v>1.964</v>
      </c>
      <c r="X2">
        <v>0.26600000000000001</v>
      </c>
      <c r="Y2">
        <v>1.7000000000000001E-2</v>
      </c>
    </row>
    <row r="3" spans="1:25" x14ac:dyDescent="0.25">
      <c r="A3" s="53" t="s">
        <v>50</v>
      </c>
      <c r="C3" t="s">
        <v>356</v>
      </c>
      <c r="D3">
        <v>174</v>
      </c>
      <c r="E3">
        <v>123.508</v>
      </c>
      <c r="F3">
        <v>114.13</v>
      </c>
      <c r="G3">
        <v>101.676</v>
      </c>
      <c r="H3">
        <v>89.591999999999999</v>
      </c>
      <c r="I3">
        <v>79.58</v>
      </c>
      <c r="J3">
        <v>71.265000000000001</v>
      </c>
      <c r="K3">
        <v>63.670999999999999</v>
      </c>
      <c r="L3">
        <v>53.706000000000003</v>
      </c>
      <c r="M3">
        <v>42.656999999999996</v>
      </c>
      <c r="N3">
        <v>34.378999999999998</v>
      </c>
      <c r="O3">
        <v>28.128</v>
      </c>
      <c r="P3">
        <v>22.763999999999999</v>
      </c>
      <c r="Q3">
        <v>17.533999999999999</v>
      </c>
      <c r="R3">
        <v>12.122</v>
      </c>
      <c r="S3">
        <v>7.1449999999999996</v>
      </c>
      <c r="T3">
        <v>4.5140000000000002</v>
      </c>
      <c r="U3">
        <v>2.2490000000000001</v>
      </c>
      <c r="V3">
        <v>0.78</v>
      </c>
      <c r="W3">
        <v>0.17299999999999999</v>
      </c>
      <c r="X3">
        <v>2.1000000000000001E-2</v>
      </c>
      <c r="Y3">
        <v>1E-3</v>
      </c>
    </row>
    <row r="4" spans="1:25" x14ac:dyDescent="0.25">
      <c r="A4" s="54" t="s">
        <v>412</v>
      </c>
      <c r="C4" t="s">
        <v>357</v>
      </c>
      <c r="D4">
        <v>262</v>
      </c>
      <c r="E4">
        <v>99.162000000000006</v>
      </c>
      <c r="F4">
        <v>97.947999999999993</v>
      </c>
      <c r="G4">
        <v>88.543000000000006</v>
      </c>
      <c r="H4">
        <v>90.777000000000001</v>
      </c>
      <c r="I4">
        <v>90.207999999999998</v>
      </c>
      <c r="J4">
        <v>87.12</v>
      </c>
      <c r="K4">
        <v>86.290999999999997</v>
      </c>
      <c r="L4">
        <v>76.125</v>
      </c>
      <c r="M4">
        <v>66.787000000000006</v>
      </c>
      <c r="N4">
        <v>54.134999999999998</v>
      </c>
      <c r="O4">
        <v>42.4</v>
      </c>
      <c r="P4">
        <v>35.677</v>
      </c>
      <c r="Q4">
        <v>26.327999999999999</v>
      </c>
      <c r="R4">
        <v>18.006</v>
      </c>
      <c r="S4">
        <v>13.936999999999999</v>
      </c>
      <c r="T4">
        <v>8.3930000000000007</v>
      </c>
      <c r="U4">
        <v>4.165</v>
      </c>
      <c r="V4">
        <v>1.5629999999999999</v>
      </c>
      <c r="W4">
        <v>0.38200000000000001</v>
      </c>
      <c r="X4">
        <v>5.0999999999999997E-2</v>
      </c>
      <c r="Y4">
        <v>4.0000000000000001E-3</v>
      </c>
    </row>
    <row r="5" spans="1:25" x14ac:dyDescent="0.25">
      <c r="C5" t="s">
        <v>358</v>
      </c>
      <c r="D5">
        <v>232</v>
      </c>
      <c r="E5">
        <v>495.07</v>
      </c>
      <c r="F5">
        <v>476.7</v>
      </c>
      <c r="G5">
        <v>486.69299999999998</v>
      </c>
      <c r="H5">
        <v>373.93200000000002</v>
      </c>
      <c r="I5">
        <v>285.24700000000001</v>
      </c>
      <c r="J5">
        <v>286.98899999999998</v>
      </c>
      <c r="K5">
        <v>269.28100000000001</v>
      </c>
      <c r="L5">
        <v>191.483</v>
      </c>
      <c r="M5">
        <v>141.245</v>
      </c>
      <c r="N5">
        <v>139.59700000000001</v>
      </c>
      <c r="O5">
        <v>88.100999999999999</v>
      </c>
      <c r="P5">
        <v>83.849000000000004</v>
      </c>
      <c r="Q5">
        <v>68.421000000000006</v>
      </c>
      <c r="R5">
        <v>59.905999999999999</v>
      </c>
      <c r="S5">
        <v>47.222999999999999</v>
      </c>
      <c r="T5">
        <v>29.859000000000002</v>
      </c>
      <c r="U5">
        <v>15.2</v>
      </c>
      <c r="V5">
        <v>5.7610000000000001</v>
      </c>
      <c r="W5">
        <v>1.548</v>
      </c>
      <c r="X5">
        <v>0.29399999999999998</v>
      </c>
      <c r="Y5">
        <v>2.8000000000000001E-2</v>
      </c>
    </row>
    <row r="6" spans="1:25" x14ac:dyDescent="0.25">
      <c r="C6" t="s">
        <v>231</v>
      </c>
      <c r="D6">
        <v>231</v>
      </c>
      <c r="E6">
        <v>16791.484</v>
      </c>
      <c r="F6">
        <v>15246.064</v>
      </c>
      <c r="G6">
        <v>13853.199000000001</v>
      </c>
      <c r="H6">
        <v>12975.795</v>
      </c>
      <c r="I6">
        <v>11746.856</v>
      </c>
      <c r="J6">
        <v>9692.1890000000003</v>
      </c>
      <c r="K6">
        <v>7518.893</v>
      </c>
      <c r="L6">
        <v>6273.9849999999997</v>
      </c>
      <c r="M6">
        <v>4933.9449999999997</v>
      </c>
      <c r="N6">
        <v>4104.7079999999996</v>
      </c>
      <c r="O6">
        <v>3228.7460000000001</v>
      </c>
      <c r="P6">
        <v>2475.3200000000002</v>
      </c>
      <c r="Q6">
        <v>2056.2640000000001</v>
      </c>
      <c r="R6">
        <v>1568.29</v>
      </c>
      <c r="S6">
        <v>1188.4349999999999</v>
      </c>
      <c r="T6">
        <v>740.93299999999999</v>
      </c>
      <c r="U6">
        <v>371.80500000000001</v>
      </c>
      <c r="V6">
        <v>152.113</v>
      </c>
      <c r="W6">
        <v>38.737000000000002</v>
      </c>
      <c r="X6">
        <v>5.3780000000000001</v>
      </c>
      <c r="Y6">
        <v>0.44400000000000001</v>
      </c>
    </row>
    <row r="7" spans="1:25" x14ac:dyDescent="0.25">
      <c r="C7" t="s">
        <v>257</v>
      </c>
      <c r="D7">
        <v>404</v>
      </c>
      <c r="E7">
        <v>7044.3639999999996</v>
      </c>
      <c r="F7">
        <v>6969.5460000000003</v>
      </c>
      <c r="G7">
        <v>6736.223</v>
      </c>
      <c r="H7">
        <v>6010.6559999999999</v>
      </c>
      <c r="I7">
        <v>5236.5929999999998</v>
      </c>
      <c r="J7">
        <v>4357.6809999999996</v>
      </c>
      <c r="K7">
        <v>4022.692</v>
      </c>
      <c r="L7">
        <v>3447.4540000000002</v>
      </c>
      <c r="M7">
        <v>2759.45</v>
      </c>
      <c r="N7">
        <v>2143.5949999999998</v>
      </c>
      <c r="O7">
        <v>1604.0730000000001</v>
      </c>
      <c r="P7">
        <v>1201.53</v>
      </c>
      <c r="Q7">
        <v>888.21500000000003</v>
      </c>
      <c r="R7">
        <v>630.61099999999999</v>
      </c>
      <c r="S7">
        <v>381.06700000000001</v>
      </c>
      <c r="T7">
        <v>193.27199999999999</v>
      </c>
      <c r="U7">
        <v>101.724</v>
      </c>
      <c r="V7">
        <v>36.393999999999998</v>
      </c>
      <c r="W7">
        <v>5.8079999999999998</v>
      </c>
      <c r="X7">
        <v>0.34300000000000003</v>
      </c>
      <c r="Y7">
        <v>8.9999999999999993E-3</v>
      </c>
    </row>
    <row r="8" spans="1:25" x14ac:dyDescent="0.25">
      <c r="C8" t="s">
        <v>359</v>
      </c>
      <c r="D8">
        <v>450</v>
      </c>
      <c r="E8">
        <v>4109.4269999999997</v>
      </c>
      <c r="F8">
        <v>3653.51</v>
      </c>
      <c r="G8">
        <v>3330.79</v>
      </c>
      <c r="H8">
        <v>3012.1379999999999</v>
      </c>
      <c r="I8">
        <v>2675.7440000000001</v>
      </c>
      <c r="J8">
        <v>2222.9920000000002</v>
      </c>
      <c r="K8">
        <v>1829.7380000000001</v>
      </c>
      <c r="L8">
        <v>1541.17</v>
      </c>
      <c r="M8">
        <v>1314.0709999999999</v>
      </c>
      <c r="N8">
        <v>1073.787</v>
      </c>
      <c r="O8">
        <v>858.46699999999998</v>
      </c>
      <c r="P8">
        <v>681.298</v>
      </c>
      <c r="Q8">
        <v>529.27499999999998</v>
      </c>
      <c r="R8">
        <v>385.93299999999999</v>
      </c>
      <c r="S8">
        <v>224.72200000000001</v>
      </c>
      <c r="T8">
        <v>135.14099999999999</v>
      </c>
      <c r="U8">
        <v>73.492999999999995</v>
      </c>
      <c r="V8">
        <v>29.957000000000001</v>
      </c>
      <c r="W8">
        <v>7.9329999999999998</v>
      </c>
      <c r="X8">
        <v>1.3049999999999999</v>
      </c>
      <c r="Y8">
        <v>0.128</v>
      </c>
    </row>
    <row r="9" spans="1:25" x14ac:dyDescent="0.25">
      <c r="C9" t="s">
        <v>360</v>
      </c>
      <c r="D9">
        <v>454</v>
      </c>
      <c r="E9">
        <v>2923.9430000000002</v>
      </c>
      <c r="F9">
        <v>2738.576</v>
      </c>
      <c r="G9">
        <v>2561.8420000000001</v>
      </c>
      <c r="H9">
        <v>2176.2109999999998</v>
      </c>
      <c r="I9">
        <v>1838.7170000000001</v>
      </c>
      <c r="J9">
        <v>1538.8009999999999</v>
      </c>
      <c r="K9">
        <v>1292.4290000000001</v>
      </c>
      <c r="L9">
        <v>993.59400000000005</v>
      </c>
      <c r="M9">
        <v>806.78700000000003</v>
      </c>
      <c r="N9">
        <v>629.95399999999995</v>
      </c>
      <c r="O9">
        <v>481.315</v>
      </c>
      <c r="P9">
        <v>364.83300000000003</v>
      </c>
      <c r="Q9">
        <v>277.62200000000001</v>
      </c>
      <c r="R9">
        <v>202.626</v>
      </c>
      <c r="S9">
        <v>152.76599999999999</v>
      </c>
      <c r="T9">
        <v>91.475999999999999</v>
      </c>
      <c r="U9">
        <v>42.802999999999997</v>
      </c>
      <c r="V9">
        <v>13.353999999999999</v>
      </c>
      <c r="W9">
        <v>2.1619999999999999</v>
      </c>
      <c r="X9">
        <v>0.13900000000000001</v>
      </c>
      <c r="Y9">
        <v>5.0000000000000001E-3</v>
      </c>
    </row>
    <row r="10" spans="1:25" x14ac:dyDescent="0.25">
      <c r="C10" t="s">
        <v>271</v>
      </c>
      <c r="D10">
        <v>480</v>
      </c>
      <c r="E10">
        <v>64.048000000000002</v>
      </c>
      <c r="F10">
        <v>68.837999999999994</v>
      </c>
      <c r="G10">
        <v>80.575999999999993</v>
      </c>
      <c r="H10">
        <v>94.587999999999994</v>
      </c>
      <c r="I10">
        <v>94.111000000000004</v>
      </c>
      <c r="J10">
        <v>102.69799999999999</v>
      </c>
      <c r="K10">
        <v>88.438999999999993</v>
      </c>
      <c r="L10">
        <v>86.668999999999997</v>
      </c>
      <c r="M10">
        <v>99.352000000000004</v>
      </c>
      <c r="N10">
        <v>82.738</v>
      </c>
      <c r="O10">
        <v>85.134</v>
      </c>
      <c r="P10">
        <v>90.215000000000003</v>
      </c>
      <c r="Q10">
        <v>75.135000000000005</v>
      </c>
      <c r="R10">
        <v>62.854999999999997</v>
      </c>
      <c r="S10">
        <v>44.573999999999998</v>
      </c>
      <c r="T10">
        <v>24.638999999999999</v>
      </c>
      <c r="U10">
        <v>15.427</v>
      </c>
      <c r="V10">
        <v>7.907</v>
      </c>
      <c r="W10">
        <v>2.9239999999999999</v>
      </c>
      <c r="X10">
        <v>0.78100000000000003</v>
      </c>
      <c r="Y10">
        <v>0.11899999999999999</v>
      </c>
    </row>
    <row r="11" spans="1:25" x14ac:dyDescent="0.25">
      <c r="C11" t="s">
        <v>361</v>
      </c>
      <c r="D11">
        <v>175</v>
      </c>
      <c r="E11">
        <v>36.078000000000003</v>
      </c>
      <c r="F11">
        <v>35.396000000000001</v>
      </c>
      <c r="G11">
        <v>34.932000000000002</v>
      </c>
      <c r="H11">
        <v>29.634</v>
      </c>
      <c r="I11">
        <v>24.882000000000001</v>
      </c>
      <c r="J11">
        <v>18.745000000000001</v>
      </c>
      <c r="K11">
        <v>17.143000000000001</v>
      </c>
      <c r="L11">
        <v>15.843</v>
      </c>
      <c r="M11">
        <v>14.988</v>
      </c>
      <c r="N11">
        <v>12.361000000000001</v>
      </c>
      <c r="O11">
        <v>9.1959999999999997</v>
      </c>
      <c r="P11">
        <v>6.968</v>
      </c>
      <c r="Q11">
        <v>5.2759999999999998</v>
      </c>
      <c r="R11">
        <v>4.0960000000000001</v>
      </c>
      <c r="S11">
        <v>2.9249999999999998</v>
      </c>
      <c r="T11">
        <v>2.073</v>
      </c>
      <c r="U11">
        <v>1.2470000000000001</v>
      </c>
      <c r="V11">
        <v>0.66</v>
      </c>
      <c r="W11">
        <v>0.27</v>
      </c>
      <c r="X11">
        <v>8.3000000000000004E-2</v>
      </c>
      <c r="Y11">
        <v>1.7000000000000001E-2</v>
      </c>
    </row>
    <row r="12" spans="1:25" x14ac:dyDescent="0.25">
      <c r="C12" t="s">
        <v>277</v>
      </c>
      <c r="D12">
        <v>508</v>
      </c>
      <c r="E12">
        <v>5156.6279999999997</v>
      </c>
      <c r="F12">
        <v>4561.1540000000005</v>
      </c>
      <c r="G12">
        <v>4054.2359999999999</v>
      </c>
      <c r="H12">
        <v>3541.2220000000002</v>
      </c>
      <c r="I12">
        <v>2912.5569999999998</v>
      </c>
      <c r="J12">
        <v>2381.9380000000001</v>
      </c>
      <c r="K12">
        <v>1961.6289999999999</v>
      </c>
      <c r="L12">
        <v>1627.11</v>
      </c>
      <c r="M12">
        <v>1287.6980000000001</v>
      </c>
      <c r="N12">
        <v>1001.59</v>
      </c>
      <c r="O12">
        <v>782.62</v>
      </c>
      <c r="P12">
        <v>617.54700000000003</v>
      </c>
      <c r="Q12">
        <v>475.03</v>
      </c>
      <c r="R12">
        <v>368.63200000000001</v>
      </c>
      <c r="S12">
        <v>262.22000000000003</v>
      </c>
      <c r="T12">
        <v>158.625</v>
      </c>
      <c r="U12">
        <v>76.713999999999999</v>
      </c>
      <c r="V12">
        <v>24.3</v>
      </c>
      <c r="W12">
        <v>3.738</v>
      </c>
      <c r="X12">
        <v>0.23699999999999999</v>
      </c>
      <c r="Y12">
        <v>0.01</v>
      </c>
    </row>
    <row r="13" spans="1:25" x14ac:dyDescent="0.25">
      <c r="C13" t="s">
        <v>362</v>
      </c>
      <c r="D13">
        <v>638</v>
      </c>
      <c r="E13">
        <v>64.838999999999999</v>
      </c>
      <c r="F13">
        <v>67.552999999999997</v>
      </c>
      <c r="G13">
        <v>67.994</v>
      </c>
      <c r="H13">
        <v>70.867999999999995</v>
      </c>
      <c r="I13">
        <v>63.841999999999999</v>
      </c>
      <c r="J13">
        <v>54.43</v>
      </c>
      <c r="K13">
        <v>49.113999999999997</v>
      </c>
      <c r="L13">
        <v>50.337000000000003</v>
      </c>
      <c r="M13">
        <v>57.478999999999999</v>
      </c>
      <c r="N13">
        <v>59.847000000000001</v>
      </c>
      <c r="O13">
        <v>65.356999999999999</v>
      </c>
      <c r="P13">
        <v>60.058</v>
      </c>
      <c r="Q13">
        <v>49.683</v>
      </c>
      <c r="R13">
        <v>40.874000000000002</v>
      </c>
      <c r="S13">
        <v>27.831</v>
      </c>
      <c r="T13">
        <v>19.702999999999999</v>
      </c>
      <c r="U13">
        <v>13.273</v>
      </c>
      <c r="V13">
        <v>7.5579999999999998</v>
      </c>
      <c r="W13">
        <v>3.2509999999999999</v>
      </c>
      <c r="X13">
        <v>1.288</v>
      </c>
      <c r="Y13">
        <v>0.129</v>
      </c>
    </row>
    <row r="14" spans="1:25" x14ac:dyDescent="0.25">
      <c r="C14" t="s">
        <v>297</v>
      </c>
      <c r="D14">
        <v>646</v>
      </c>
      <c r="E14">
        <v>1885.105</v>
      </c>
      <c r="F14">
        <v>1675.9179999999999</v>
      </c>
      <c r="G14">
        <v>1551.7660000000001</v>
      </c>
      <c r="H14">
        <v>1354.029</v>
      </c>
      <c r="I14">
        <v>1183.5609999999999</v>
      </c>
      <c r="J14">
        <v>1027.482</v>
      </c>
      <c r="K14">
        <v>978.57799999999997</v>
      </c>
      <c r="L14">
        <v>833.976</v>
      </c>
      <c r="M14">
        <v>609.13199999999995</v>
      </c>
      <c r="N14">
        <v>460.96199999999999</v>
      </c>
      <c r="O14">
        <v>354.41899999999998</v>
      </c>
      <c r="P14">
        <v>374.02800000000002</v>
      </c>
      <c r="Q14">
        <v>259.23700000000002</v>
      </c>
      <c r="R14">
        <v>185.917</v>
      </c>
      <c r="S14">
        <v>109.464</v>
      </c>
      <c r="T14">
        <v>65.352999999999994</v>
      </c>
      <c r="U14">
        <v>25.693999999999999</v>
      </c>
      <c r="V14">
        <v>15.602</v>
      </c>
      <c r="W14">
        <v>1.6830000000000001</v>
      </c>
      <c r="X14">
        <v>0.29599999999999999</v>
      </c>
      <c r="Y14">
        <v>7.0000000000000001E-3</v>
      </c>
    </row>
    <row r="15" spans="1:25" x14ac:dyDescent="0.25">
      <c r="C15" t="s">
        <v>303</v>
      </c>
      <c r="D15">
        <v>690</v>
      </c>
      <c r="E15">
        <v>7.9669999999999996</v>
      </c>
      <c r="F15">
        <v>7.9660000000000002</v>
      </c>
      <c r="G15">
        <v>7.4379999999999997</v>
      </c>
      <c r="H15">
        <v>6.4279999999999999</v>
      </c>
      <c r="I15">
        <v>6.3630000000000004</v>
      </c>
      <c r="J15">
        <v>7.0679999999999996</v>
      </c>
      <c r="K15">
        <v>7.1050000000000004</v>
      </c>
      <c r="L15">
        <v>7.3810000000000002</v>
      </c>
      <c r="M15">
        <v>7.4359999999999999</v>
      </c>
      <c r="N15">
        <v>7.4370000000000003</v>
      </c>
      <c r="O15">
        <v>6.819</v>
      </c>
      <c r="P15">
        <v>6.1580000000000004</v>
      </c>
      <c r="Q15">
        <v>4.8410000000000002</v>
      </c>
      <c r="R15">
        <v>3.0680000000000001</v>
      </c>
      <c r="S15">
        <v>1.645</v>
      </c>
      <c r="T15">
        <v>1.56</v>
      </c>
      <c r="U15">
        <v>0.92800000000000005</v>
      </c>
      <c r="V15">
        <v>0.49299999999999999</v>
      </c>
      <c r="W15">
        <v>0.19800000000000001</v>
      </c>
      <c r="X15">
        <v>3.5999999999999997E-2</v>
      </c>
      <c r="Y15">
        <v>5.0000000000000001E-3</v>
      </c>
    </row>
    <row r="16" spans="1:25" x14ac:dyDescent="0.25">
      <c r="C16" t="s">
        <v>363</v>
      </c>
      <c r="D16">
        <v>706</v>
      </c>
      <c r="E16">
        <v>2826.5050000000001</v>
      </c>
      <c r="F16">
        <v>2388.8589999999999</v>
      </c>
      <c r="G16">
        <v>2119.3429999999998</v>
      </c>
      <c r="H16">
        <v>1818.2470000000001</v>
      </c>
      <c r="I16">
        <v>1534.2750000000001</v>
      </c>
      <c r="J16">
        <v>1159.6010000000001</v>
      </c>
      <c r="K16">
        <v>868.58199999999999</v>
      </c>
      <c r="L16">
        <v>665.822</v>
      </c>
      <c r="M16">
        <v>561.005</v>
      </c>
      <c r="N16">
        <v>492.88900000000001</v>
      </c>
      <c r="O16">
        <v>407.29199999999997</v>
      </c>
      <c r="P16">
        <v>326.68</v>
      </c>
      <c r="Q16">
        <v>262.875</v>
      </c>
      <c r="R16">
        <v>199.91499999999999</v>
      </c>
      <c r="S16">
        <v>134.577</v>
      </c>
      <c r="T16">
        <v>75.53</v>
      </c>
      <c r="U16">
        <v>36.029000000000003</v>
      </c>
      <c r="V16">
        <v>11.768000000000001</v>
      </c>
      <c r="W16">
        <v>2.9489999999999998</v>
      </c>
      <c r="X16">
        <v>0.437</v>
      </c>
      <c r="Y16">
        <v>3.9E-2</v>
      </c>
    </row>
    <row r="17" spans="3:25" x14ac:dyDescent="0.25">
      <c r="C17" t="s">
        <v>364</v>
      </c>
      <c r="D17">
        <v>728</v>
      </c>
      <c r="E17">
        <v>1707.3920000000001</v>
      </c>
      <c r="F17">
        <v>1538.29</v>
      </c>
      <c r="G17">
        <v>1380.431</v>
      </c>
      <c r="H17">
        <v>1201.47</v>
      </c>
      <c r="I17">
        <v>1062.165</v>
      </c>
      <c r="J17">
        <v>900.78700000000003</v>
      </c>
      <c r="K17">
        <v>744.17399999999998</v>
      </c>
      <c r="L17">
        <v>589.97900000000004</v>
      </c>
      <c r="M17">
        <v>491.92599999999999</v>
      </c>
      <c r="N17">
        <v>404.911</v>
      </c>
      <c r="O17">
        <v>332.202</v>
      </c>
      <c r="P17">
        <v>263.32299999999998</v>
      </c>
      <c r="Q17">
        <v>201.37700000000001</v>
      </c>
      <c r="R17">
        <v>143.56</v>
      </c>
      <c r="S17">
        <v>112.23</v>
      </c>
      <c r="T17">
        <v>70.396000000000001</v>
      </c>
      <c r="U17">
        <v>33.933999999999997</v>
      </c>
      <c r="V17">
        <v>12.064</v>
      </c>
      <c r="W17">
        <v>2.7290000000000001</v>
      </c>
      <c r="X17">
        <v>0.36299999999999999</v>
      </c>
      <c r="Y17">
        <v>2.5999999999999999E-2</v>
      </c>
    </row>
    <row r="18" spans="3:25" x14ac:dyDescent="0.25">
      <c r="C18" t="s">
        <v>322</v>
      </c>
      <c r="D18">
        <v>800</v>
      </c>
      <c r="E18">
        <v>7796.0389999999998</v>
      </c>
      <c r="F18">
        <v>7059.9129999999996</v>
      </c>
      <c r="G18">
        <v>6192.1760000000004</v>
      </c>
      <c r="H18">
        <v>5257.2479999999996</v>
      </c>
      <c r="I18">
        <v>4328.1809999999996</v>
      </c>
      <c r="J18">
        <v>3544.4940000000001</v>
      </c>
      <c r="K18">
        <v>2848.5239999999999</v>
      </c>
      <c r="L18">
        <v>2252.576</v>
      </c>
      <c r="M18">
        <v>1765.404</v>
      </c>
      <c r="N18">
        <v>1368</v>
      </c>
      <c r="O18">
        <v>1065.5930000000001</v>
      </c>
      <c r="P18">
        <v>786.84199999999998</v>
      </c>
      <c r="Q18">
        <v>567.73400000000004</v>
      </c>
      <c r="R18">
        <v>406.59100000000001</v>
      </c>
      <c r="S18">
        <v>261.48899999999998</v>
      </c>
      <c r="T18">
        <v>150.50899999999999</v>
      </c>
      <c r="U18">
        <v>63.645000000000003</v>
      </c>
      <c r="V18">
        <v>22.445</v>
      </c>
      <c r="W18">
        <v>3.3940000000000001</v>
      </c>
      <c r="X18">
        <v>0.19700000000000001</v>
      </c>
      <c r="Y18">
        <v>6.0000000000000001E-3</v>
      </c>
    </row>
    <row r="19" spans="3:25" x14ac:dyDescent="0.25">
      <c r="C19" t="s">
        <v>325</v>
      </c>
      <c r="D19">
        <v>834</v>
      </c>
      <c r="E19">
        <v>9738.6020000000008</v>
      </c>
      <c r="F19">
        <v>8623.7139999999999</v>
      </c>
      <c r="G19">
        <v>7654.58</v>
      </c>
      <c r="H19">
        <v>6434.4620000000004</v>
      </c>
      <c r="I19">
        <v>5262.5550000000003</v>
      </c>
      <c r="J19">
        <v>4583.6940000000004</v>
      </c>
      <c r="K19">
        <v>3902.89</v>
      </c>
      <c r="L19">
        <v>3259.038</v>
      </c>
      <c r="M19">
        <v>2684.7930000000001</v>
      </c>
      <c r="N19">
        <v>2135.9340000000002</v>
      </c>
      <c r="O19">
        <v>1660.7829999999999</v>
      </c>
      <c r="P19">
        <v>1265.8520000000001</v>
      </c>
      <c r="Q19">
        <v>948.18899999999996</v>
      </c>
      <c r="R19">
        <v>674.61099999999999</v>
      </c>
      <c r="S19">
        <v>472.21300000000002</v>
      </c>
      <c r="T19">
        <v>269.02300000000002</v>
      </c>
      <c r="U19">
        <v>121.85599999999999</v>
      </c>
      <c r="V19">
        <v>36.082000000000001</v>
      </c>
      <c r="W19">
        <v>5.0880000000000001</v>
      </c>
      <c r="X19">
        <v>0.247</v>
      </c>
      <c r="Y19">
        <v>7.0000000000000001E-3</v>
      </c>
    </row>
    <row r="20" spans="3:25" x14ac:dyDescent="0.25">
      <c r="C20" t="s">
        <v>332</v>
      </c>
      <c r="D20">
        <v>894</v>
      </c>
      <c r="E20">
        <v>2946.4540000000002</v>
      </c>
      <c r="F20">
        <v>2717.0880000000002</v>
      </c>
      <c r="G20">
        <v>2428.598</v>
      </c>
      <c r="H20">
        <v>2121.5830000000001</v>
      </c>
      <c r="I20">
        <v>1746.9390000000001</v>
      </c>
      <c r="J20">
        <v>1433.444</v>
      </c>
      <c r="K20">
        <v>1193.4749999999999</v>
      </c>
      <c r="L20">
        <v>991.71900000000005</v>
      </c>
      <c r="M20">
        <v>808.23099999999999</v>
      </c>
      <c r="N20">
        <v>605.65800000000002</v>
      </c>
      <c r="O20">
        <v>433.59699999999998</v>
      </c>
      <c r="P20">
        <v>327.66199999999998</v>
      </c>
      <c r="Q20">
        <v>237.554</v>
      </c>
      <c r="R20">
        <v>166.28100000000001</v>
      </c>
      <c r="S20">
        <v>112.76300000000001</v>
      </c>
      <c r="T20">
        <v>67.201999999999998</v>
      </c>
      <c r="U20">
        <v>32.915999999999997</v>
      </c>
      <c r="V20">
        <v>10.863</v>
      </c>
      <c r="W20">
        <v>1.8029999999999999</v>
      </c>
      <c r="X20">
        <v>0.121</v>
      </c>
      <c r="Y20">
        <v>5.0000000000000001E-3</v>
      </c>
    </row>
    <row r="21" spans="3:25" x14ac:dyDescent="0.25">
      <c r="C21" t="s">
        <v>333</v>
      </c>
      <c r="D21">
        <v>716</v>
      </c>
      <c r="E21">
        <v>2097.4479999999999</v>
      </c>
      <c r="F21">
        <v>2210.712</v>
      </c>
      <c r="G21">
        <v>1921.06</v>
      </c>
      <c r="H21">
        <v>1638.895</v>
      </c>
      <c r="I21">
        <v>1377.829</v>
      </c>
      <c r="J21">
        <v>1105.162</v>
      </c>
      <c r="K21">
        <v>994.87400000000002</v>
      </c>
      <c r="L21">
        <v>872.60199999999998</v>
      </c>
      <c r="M21">
        <v>737.52700000000004</v>
      </c>
      <c r="N21">
        <v>520.29499999999996</v>
      </c>
      <c r="O21">
        <v>389.42</v>
      </c>
      <c r="P21">
        <v>308.66899999999998</v>
      </c>
      <c r="Q21">
        <v>240.44200000000001</v>
      </c>
      <c r="R21">
        <v>184.97300000000001</v>
      </c>
      <c r="S21">
        <v>114.658</v>
      </c>
      <c r="T21">
        <v>85.7</v>
      </c>
      <c r="U21">
        <v>43.887999999999998</v>
      </c>
      <c r="V21">
        <v>15.46</v>
      </c>
      <c r="W21">
        <v>3.0270000000000001</v>
      </c>
      <c r="X21">
        <v>0.26700000000000002</v>
      </c>
      <c r="Y21">
        <v>1.9E-2</v>
      </c>
    </row>
    <row r="22" spans="3:25" x14ac:dyDescent="0.25">
      <c r="C22" t="s">
        <v>365</v>
      </c>
      <c r="D22">
        <v>24</v>
      </c>
      <c r="E22">
        <v>5795.0039999999999</v>
      </c>
      <c r="F22">
        <v>5104.1639999999998</v>
      </c>
      <c r="G22">
        <v>4349.2610000000004</v>
      </c>
      <c r="H22">
        <v>3532.518</v>
      </c>
      <c r="I22">
        <v>2882.5659999999998</v>
      </c>
      <c r="J22">
        <v>2423.471</v>
      </c>
      <c r="K22">
        <v>2040.7570000000001</v>
      </c>
      <c r="L22">
        <v>1658.972</v>
      </c>
      <c r="M22">
        <v>1330.6949999999999</v>
      </c>
      <c r="N22">
        <v>1082.04</v>
      </c>
      <c r="O22">
        <v>787.21199999999999</v>
      </c>
      <c r="P22">
        <v>677.39</v>
      </c>
      <c r="Q22">
        <v>481.96800000000002</v>
      </c>
      <c r="R22">
        <v>303.92899999999997</v>
      </c>
      <c r="S22">
        <v>212.51300000000001</v>
      </c>
      <c r="T22">
        <v>119.21599999999999</v>
      </c>
      <c r="U22">
        <v>59.936999999999998</v>
      </c>
      <c r="V22">
        <v>19.878</v>
      </c>
      <c r="W22">
        <v>4.2590000000000003</v>
      </c>
      <c r="X22">
        <v>0.48</v>
      </c>
      <c r="Y22">
        <v>3.7999999999999999E-2</v>
      </c>
    </row>
    <row r="23" spans="3:25" x14ac:dyDescent="0.25">
      <c r="C23" t="s">
        <v>216</v>
      </c>
      <c r="D23">
        <v>120</v>
      </c>
      <c r="E23">
        <v>4115.7030000000004</v>
      </c>
      <c r="F23">
        <v>3730.3229999999999</v>
      </c>
      <c r="G23">
        <v>3320.2089999999998</v>
      </c>
      <c r="H23">
        <v>2856.25</v>
      </c>
      <c r="I23">
        <v>2419.998</v>
      </c>
      <c r="J23">
        <v>2131.7890000000002</v>
      </c>
      <c r="K23">
        <v>1860.818</v>
      </c>
      <c r="L23">
        <v>1539.0239999999999</v>
      </c>
      <c r="M23">
        <v>1203.2349999999999</v>
      </c>
      <c r="N23">
        <v>938.60799999999995</v>
      </c>
      <c r="O23">
        <v>729.13099999999997</v>
      </c>
      <c r="P23">
        <v>559.346</v>
      </c>
      <c r="Q23">
        <v>420.4</v>
      </c>
      <c r="R23">
        <v>312.899</v>
      </c>
      <c r="S23">
        <v>209.91200000000001</v>
      </c>
      <c r="T23">
        <v>122.822</v>
      </c>
      <c r="U23">
        <v>56.789000000000001</v>
      </c>
      <c r="V23">
        <v>16.300999999999998</v>
      </c>
      <c r="W23">
        <v>2.1930000000000001</v>
      </c>
      <c r="X23">
        <v>0.11</v>
      </c>
      <c r="Y23">
        <v>4.0000000000000001E-3</v>
      </c>
    </row>
    <row r="24" spans="3:25" x14ac:dyDescent="0.25">
      <c r="C24" t="s">
        <v>366</v>
      </c>
      <c r="D24">
        <v>140</v>
      </c>
      <c r="E24">
        <v>738.24199999999996</v>
      </c>
      <c r="F24">
        <v>697.36699999999996</v>
      </c>
      <c r="G24">
        <v>667.35400000000004</v>
      </c>
      <c r="H24">
        <v>597.25400000000002</v>
      </c>
      <c r="I24">
        <v>482.77100000000002</v>
      </c>
      <c r="J24">
        <v>357.21899999999999</v>
      </c>
      <c r="K24">
        <v>277.12700000000001</v>
      </c>
      <c r="L24">
        <v>224.208</v>
      </c>
      <c r="M24">
        <v>182.94800000000001</v>
      </c>
      <c r="N24">
        <v>156.58099999999999</v>
      </c>
      <c r="O24">
        <v>129.029</v>
      </c>
      <c r="P24">
        <v>103.56699999999999</v>
      </c>
      <c r="Q24">
        <v>80.953999999999994</v>
      </c>
      <c r="R24">
        <v>58.106999999999999</v>
      </c>
      <c r="S24">
        <v>37.685000000000002</v>
      </c>
      <c r="T24">
        <v>23.821000000000002</v>
      </c>
      <c r="U24">
        <v>11.481</v>
      </c>
      <c r="V24">
        <v>3.4910000000000001</v>
      </c>
      <c r="W24">
        <v>0.52300000000000002</v>
      </c>
      <c r="X24">
        <v>3.3000000000000002E-2</v>
      </c>
      <c r="Y24">
        <v>2E-3</v>
      </c>
    </row>
    <row r="25" spans="3:25" x14ac:dyDescent="0.25">
      <c r="C25" t="s">
        <v>367</v>
      </c>
      <c r="D25">
        <v>148</v>
      </c>
      <c r="E25">
        <v>2930.4349999999999</v>
      </c>
      <c r="F25">
        <v>2522.114</v>
      </c>
      <c r="G25">
        <v>2183.8780000000002</v>
      </c>
      <c r="H25">
        <v>1854.85</v>
      </c>
      <c r="I25">
        <v>1535.501</v>
      </c>
      <c r="J25">
        <v>1245.5160000000001</v>
      </c>
      <c r="K25">
        <v>989.98500000000001</v>
      </c>
      <c r="L25">
        <v>779.66099999999994</v>
      </c>
      <c r="M25">
        <v>610.04</v>
      </c>
      <c r="N25">
        <v>472.791</v>
      </c>
      <c r="O25">
        <v>362.36700000000002</v>
      </c>
      <c r="P25">
        <v>292.27999999999997</v>
      </c>
      <c r="Q25">
        <v>236.024</v>
      </c>
      <c r="R25">
        <v>181.32499999999999</v>
      </c>
      <c r="S25">
        <v>112.184</v>
      </c>
      <c r="T25">
        <v>68.477000000000004</v>
      </c>
      <c r="U25">
        <v>33.615000000000002</v>
      </c>
      <c r="V25">
        <v>11.769</v>
      </c>
      <c r="W25">
        <v>2.661</v>
      </c>
      <c r="X25">
        <v>0.35899999999999999</v>
      </c>
      <c r="Y25">
        <v>2.7E-2</v>
      </c>
    </row>
    <row r="26" spans="3:25" x14ac:dyDescent="0.25">
      <c r="C26" t="s">
        <v>221</v>
      </c>
      <c r="D26">
        <v>178</v>
      </c>
      <c r="E26">
        <v>821.95899999999995</v>
      </c>
      <c r="F26">
        <v>770.37599999999998</v>
      </c>
      <c r="G26">
        <v>684.99699999999996</v>
      </c>
      <c r="H26">
        <v>572.96699999999998</v>
      </c>
      <c r="I26">
        <v>476.267</v>
      </c>
      <c r="J26">
        <v>397.99400000000003</v>
      </c>
      <c r="K26">
        <v>353.82299999999998</v>
      </c>
      <c r="L26">
        <v>326.25599999999997</v>
      </c>
      <c r="M26">
        <v>293.52</v>
      </c>
      <c r="N26">
        <v>242.29400000000001</v>
      </c>
      <c r="O26">
        <v>188.97399999999999</v>
      </c>
      <c r="P26">
        <v>138.91800000000001</v>
      </c>
      <c r="Q26">
        <v>97.295000000000002</v>
      </c>
      <c r="R26">
        <v>67.441999999999993</v>
      </c>
      <c r="S26">
        <v>43.871000000000002</v>
      </c>
      <c r="T26">
        <v>25.526</v>
      </c>
      <c r="U26">
        <v>11.702999999999999</v>
      </c>
      <c r="V26">
        <v>3.415</v>
      </c>
      <c r="W26">
        <v>0.47299999999999998</v>
      </c>
      <c r="X26">
        <v>2.1999999999999999E-2</v>
      </c>
      <c r="Y26">
        <v>0</v>
      </c>
    </row>
    <row r="27" spans="3:25" x14ac:dyDescent="0.25">
      <c r="C27" t="s">
        <v>368</v>
      </c>
      <c r="D27">
        <v>180</v>
      </c>
      <c r="E27">
        <v>15827.439</v>
      </c>
      <c r="F27">
        <v>13659.867</v>
      </c>
      <c r="G27">
        <v>11527.51</v>
      </c>
      <c r="H27">
        <v>9472.51</v>
      </c>
      <c r="I27">
        <v>7729.7129999999997</v>
      </c>
      <c r="J27">
        <v>6439.5230000000001</v>
      </c>
      <c r="K27">
        <v>5340.933</v>
      </c>
      <c r="L27">
        <v>4421.4009999999998</v>
      </c>
      <c r="M27">
        <v>3629.0880000000002</v>
      </c>
      <c r="N27">
        <v>2976.4409999999998</v>
      </c>
      <c r="O27">
        <v>2421.7370000000001</v>
      </c>
      <c r="P27">
        <v>1925.2660000000001</v>
      </c>
      <c r="Q27">
        <v>1486.4110000000001</v>
      </c>
      <c r="R27">
        <v>1099.43</v>
      </c>
      <c r="S27">
        <v>789.01</v>
      </c>
      <c r="T27">
        <v>479.67599999999999</v>
      </c>
      <c r="U27">
        <v>232.52500000000001</v>
      </c>
      <c r="V27">
        <v>81.751000000000005</v>
      </c>
      <c r="W27">
        <v>18.574999999999999</v>
      </c>
      <c r="X27">
        <v>2.419</v>
      </c>
      <c r="Y27">
        <v>0.17899999999999999</v>
      </c>
    </row>
    <row r="28" spans="3:25" x14ac:dyDescent="0.25">
      <c r="C28" t="s">
        <v>369</v>
      </c>
      <c r="D28">
        <v>226</v>
      </c>
      <c r="E28">
        <v>199.65299999999999</v>
      </c>
      <c r="F28">
        <v>172.01</v>
      </c>
      <c r="G28">
        <v>144.346</v>
      </c>
      <c r="H28">
        <v>120.95099999999999</v>
      </c>
      <c r="I28">
        <v>138.19200000000001</v>
      </c>
      <c r="J28">
        <v>148.19300000000001</v>
      </c>
      <c r="K28">
        <v>143.66300000000001</v>
      </c>
      <c r="L28">
        <v>105.318</v>
      </c>
      <c r="M28">
        <v>68.701999999999998</v>
      </c>
      <c r="N28">
        <v>46.66</v>
      </c>
      <c r="O28">
        <v>37.186999999999998</v>
      </c>
      <c r="P28">
        <v>25.03</v>
      </c>
      <c r="Q28">
        <v>19.667999999999999</v>
      </c>
      <c r="R28">
        <v>15.211</v>
      </c>
      <c r="S28">
        <v>9.1240000000000006</v>
      </c>
      <c r="T28">
        <v>5.5970000000000004</v>
      </c>
      <c r="U28">
        <v>2.536</v>
      </c>
      <c r="V28">
        <v>0.82299999999999995</v>
      </c>
      <c r="W28">
        <v>0.115</v>
      </c>
      <c r="X28">
        <v>6.0000000000000001E-3</v>
      </c>
      <c r="Y28">
        <v>0</v>
      </c>
    </row>
    <row r="29" spans="3:25" x14ac:dyDescent="0.25">
      <c r="C29" t="s">
        <v>370</v>
      </c>
      <c r="D29">
        <v>266</v>
      </c>
      <c r="E29">
        <v>320.37599999999998</v>
      </c>
      <c r="F29">
        <v>279.63</v>
      </c>
      <c r="G29">
        <v>229.39</v>
      </c>
      <c r="H29">
        <v>193.38</v>
      </c>
      <c r="I29">
        <v>179.40700000000001</v>
      </c>
      <c r="J29">
        <v>188.006</v>
      </c>
      <c r="K29">
        <v>188.81200000000001</v>
      </c>
      <c r="L29">
        <v>161.25399999999999</v>
      </c>
      <c r="M29">
        <v>128.84399999999999</v>
      </c>
      <c r="N29">
        <v>103.32</v>
      </c>
      <c r="O29">
        <v>78.748000000000005</v>
      </c>
      <c r="P29">
        <v>55.404000000000003</v>
      </c>
      <c r="Q29">
        <v>40.613</v>
      </c>
      <c r="R29">
        <v>30.69</v>
      </c>
      <c r="S29">
        <v>22.07</v>
      </c>
      <c r="T29">
        <v>14.622999999999999</v>
      </c>
      <c r="U29">
        <v>7.86</v>
      </c>
      <c r="V29">
        <v>2.8159999999999998</v>
      </c>
      <c r="W29">
        <v>0.46200000000000002</v>
      </c>
      <c r="X29">
        <v>2.3E-2</v>
      </c>
      <c r="Y29">
        <v>0</v>
      </c>
    </row>
    <row r="30" spans="3:25" x14ac:dyDescent="0.25">
      <c r="C30" t="s">
        <v>371</v>
      </c>
      <c r="D30">
        <v>678</v>
      </c>
      <c r="E30">
        <v>31.754000000000001</v>
      </c>
      <c r="F30">
        <v>30.657</v>
      </c>
      <c r="G30">
        <v>29.106000000000002</v>
      </c>
      <c r="H30">
        <v>25.003</v>
      </c>
      <c r="I30">
        <v>18.677</v>
      </c>
      <c r="J30">
        <v>14.948</v>
      </c>
      <c r="K30">
        <v>14.083</v>
      </c>
      <c r="L30">
        <v>12.548</v>
      </c>
      <c r="M30">
        <v>11.052</v>
      </c>
      <c r="N30">
        <v>7.6280000000000001</v>
      </c>
      <c r="O30">
        <v>7.3609999999999998</v>
      </c>
      <c r="P30">
        <v>5.4189999999999996</v>
      </c>
      <c r="Q30">
        <v>4.3319999999999999</v>
      </c>
      <c r="R30">
        <v>2.75</v>
      </c>
      <c r="S30">
        <v>1.744</v>
      </c>
      <c r="T30">
        <v>1.02</v>
      </c>
      <c r="U30">
        <v>0.72399999999999998</v>
      </c>
      <c r="V30">
        <v>0.25700000000000001</v>
      </c>
      <c r="W30">
        <v>8.6999999999999994E-2</v>
      </c>
      <c r="X30">
        <v>0.01</v>
      </c>
      <c r="Y30">
        <v>1E-3</v>
      </c>
    </row>
    <row r="31" spans="3:25" x14ac:dyDescent="0.25">
      <c r="C31" t="s">
        <v>209</v>
      </c>
      <c r="D31">
        <v>72</v>
      </c>
      <c r="E31">
        <v>271.77499999999998</v>
      </c>
      <c r="F31">
        <v>267.23</v>
      </c>
      <c r="G31">
        <v>246.52799999999999</v>
      </c>
      <c r="H31">
        <v>225.505</v>
      </c>
      <c r="I31">
        <v>203.74</v>
      </c>
      <c r="J31">
        <v>198.76900000000001</v>
      </c>
      <c r="K31">
        <v>187.256</v>
      </c>
      <c r="L31">
        <v>178.03299999999999</v>
      </c>
      <c r="M31">
        <v>149.07499999999999</v>
      </c>
      <c r="N31">
        <v>111.94</v>
      </c>
      <c r="O31">
        <v>80.356999999999999</v>
      </c>
      <c r="P31">
        <v>66.225999999999999</v>
      </c>
      <c r="Q31">
        <v>59.085000000000001</v>
      </c>
      <c r="R31">
        <v>45.165999999999997</v>
      </c>
      <c r="S31">
        <v>29.545999999999999</v>
      </c>
      <c r="T31">
        <v>19.012</v>
      </c>
      <c r="U31">
        <v>8.3780000000000001</v>
      </c>
      <c r="V31">
        <v>3.1560000000000001</v>
      </c>
      <c r="W31">
        <v>0.76900000000000002</v>
      </c>
      <c r="X31">
        <v>7.6999999999999999E-2</v>
      </c>
      <c r="Y31">
        <v>2E-3</v>
      </c>
    </row>
    <row r="32" spans="3:25" x14ac:dyDescent="0.25">
      <c r="C32" t="s">
        <v>372</v>
      </c>
      <c r="D32">
        <v>748</v>
      </c>
      <c r="E32">
        <v>143.67699999999999</v>
      </c>
      <c r="F32">
        <v>142.94300000000001</v>
      </c>
      <c r="G32">
        <v>147.779</v>
      </c>
      <c r="H32">
        <v>129.239</v>
      </c>
      <c r="I32">
        <v>112.81699999999999</v>
      </c>
      <c r="J32">
        <v>100.07</v>
      </c>
      <c r="K32">
        <v>82.554000000000002</v>
      </c>
      <c r="L32">
        <v>78.775000000000006</v>
      </c>
      <c r="M32">
        <v>60.204000000000001</v>
      </c>
      <c r="N32">
        <v>44.195</v>
      </c>
      <c r="O32">
        <v>29.594000000000001</v>
      </c>
      <c r="P32">
        <v>22.123000000000001</v>
      </c>
      <c r="Q32">
        <v>19.638999999999999</v>
      </c>
      <c r="R32">
        <v>16.882999999999999</v>
      </c>
      <c r="S32">
        <v>13.551</v>
      </c>
      <c r="T32">
        <v>9.0340000000000007</v>
      </c>
      <c r="U32">
        <v>4.9039999999999999</v>
      </c>
      <c r="V32">
        <v>1.7789999999999999</v>
      </c>
      <c r="W32">
        <v>0.36099999999999999</v>
      </c>
      <c r="X32">
        <v>0.04</v>
      </c>
      <c r="Y32">
        <v>3.0000000000000001E-3</v>
      </c>
    </row>
    <row r="33" spans="3:25" x14ac:dyDescent="0.25">
      <c r="C33" t="s">
        <v>263</v>
      </c>
      <c r="D33">
        <v>426</v>
      </c>
      <c r="E33">
        <v>253.51300000000001</v>
      </c>
      <c r="F33">
        <v>225.23500000000001</v>
      </c>
      <c r="G33">
        <v>211.87100000000001</v>
      </c>
      <c r="H33">
        <v>216.95</v>
      </c>
      <c r="I33">
        <v>203.923</v>
      </c>
      <c r="J33">
        <v>191.26900000000001</v>
      </c>
      <c r="K33">
        <v>174.74600000000001</v>
      </c>
      <c r="L33">
        <v>152.535</v>
      </c>
      <c r="M33">
        <v>119.473</v>
      </c>
      <c r="N33">
        <v>90.778000000000006</v>
      </c>
      <c r="O33">
        <v>74.698999999999998</v>
      </c>
      <c r="P33">
        <v>66.072000000000003</v>
      </c>
      <c r="Q33">
        <v>55.17</v>
      </c>
      <c r="R33">
        <v>41.643000000000001</v>
      </c>
      <c r="S33">
        <v>29.687999999999999</v>
      </c>
      <c r="T33">
        <v>18.620999999999999</v>
      </c>
      <c r="U33">
        <v>10.314</v>
      </c>
      <c r="V33">
        <v>4.5620000000000003</v>
      </c>
      <c r="W33">
        <v>1.0649999999999999</v>
      </c>
      <c r="X33">
        <v>0.114</v>
      </c>
      <c r="Y33">
        <v>1.0999999999999999E-2</v>
      </c>
    </row>
    <row r="34" spans="3:25" x14ac:dyDescent="0.25">
      <c r="C34" t="s">
        <v>278</v>
      </c>
      <c r="D34">
        <v>516</v>
      </c>
      <c r="E34">
        <v>336.07799999999997</v>
      </c>
      <c r="F34">
        <v>318.44799999999998</v>
      </c>
      <c r="G34">
        <v>281.57799999999997</v>
      </c>
      <c r="H34">
        <v>244.85599999999999</v>
      </c>
      <c r="I34">
        <v>244.31100000000001</v>
      </c>
      <c r="J34">
        <v>228.398</v>
      </c>
      <c r="K34">
        <v>197.38800000000001</v>
      </c>
      <c r="L34">
        <v>159.459</v>
      </c>
      <c r="M34">
        <v>130.72999999999999</v>
      </c>
      <c r="N34">
        <v>106.827</v>
      </c>
      <c r="O34">
        <v>82.468000000000004</v>
      </c>
      <c r="P34">
        <v>67.866</v>
      </c>
      <c r="Q34">
        <v>51.390999999999998</v>
      </c>
      <c r="R34">
        <v>36.07</v>
      </c>
      <c r="S34">
        <v>24.28</v>
      </c>
      <c r="T34">
        <v>16.850999999999999</v>
      </c>
      <c r="U34">
        <v>9.3490000000000002</v>
      </c>
      <c r="V34">
        <v>3.6419999999999999</v>
      </c>
      <c r="W34">
        <v>0.85</v>
      </c>
      <c r="X34">
        <v>7.3999999999999996E-2</v>
      </c>
      <c r="Y34">
        <v>2E-3</v>
      </c>
    </row>
    <row r="35" spans="3:25" x14ac:dyDescent="0.25">
      <c r="C35" t="s">
        <v>309</v>
      </c>
      <c r="D35">
        <v>710</v>
      </c>
      <c r="E35">
        <v>5764.9449999999997</v>
      </c>
      <c r="F35">
        <v>5820.66</v>
      </c>
      <c r="G35">
        <v>5495.9629999999997</v>
      </c>
      <c r="H35">
        <v>4913.2110000000002</v>
      </c>
      <c r="I35">
        <v>4924.0910000000003</v>
      </c>
      <c r="J35">
        <v>5217.3980000000001</v>
      </c>
      <c r="K35">
        <v>5374.11</v>
      </c>
      <c r="L35">
        <v>4781.2150000000001</v>
      </c>
      <c r="M35">
        <v>3810.04</v>
      </c>
      <c r="N35">
        <v>3233.2350000000001</v>
      </c>
      <c r="O35">
        <v>2692.1320000000001</v>
      </c>
      <c r="P35">
        <v>2219.4</v>
      </c>
      <c r="Q35">
        <v>1794.7149999999999</v>
      </c>
      <c r="R35">
        <v>1369.7260000000001</v>
      </c>
      <c r="S35">
        <v>895.21699999999998</v>
      </c>
      <c r="T35">
        <v>580.83799999999997</v>
      </c>
      <c r="U35">
        <v>298.42</v>
      </c>
      <c r="V35">
        <v>103.95399999999999</v>
      </c>
      <c r="W35">
        <v>18.094000000000001</v>
      </c>
      <c r="X35">
        <v>1.274</v>
      </c>
      <c r="Y35">
        <v>5.1999999999999998E-2</v>
      </c>
    </row>
    <row r="36" spans="3:25" x14ac:dyDescent="0.25">
      <c r="C36" t="s">
        <v>206</v>
      </c>
      <c r="D36">
        <v>204</v>
      </c>
      <c r="E36">
        <v>1908.329</v>
      </c>
      <c r="F36">
        <v>1688.6210000000001</v>
      </c>
      <c r="G36">
        <v>1488.0709999999999</v>
      </c>
      <c r="H36">
        <v>1291.415</v>
      </c>
      <c r="I36">
        <v>1115.836</v>
      </c>
      <c r="J36">
        <v>945.93200000000002</v>
      </c>
      <c r="K36">
        <v>785.32</v>
      </c>
      <c r="L36">
        <v>651.12300000000005</v>
      </c>
      <c r="M36">
        <v>538.73199999999997</v>
      </c>
      <c r="N36">
        <v>443.1</v>
      </c>
      <c r="O36">
        <v>363.185</v>
      </c>
      <c r="P36">
        <v>287.49599999999998</v>
      </c>
      <c r="Q36">
        <v>218.58600000000001</v>
      </c>
      <c r="R36">
        <v>160.59700000000001</v>
      </c>
      <c r="S36">
        <v>111.041</v>
      </c>
      <c r="T36">
        <v>73.793999999999997</v>
      </c>
      <c r="U36">
        <v>35.314999999999998</v>
      </c>
      <c r="V36">
        <v>12.926</v>
      </c>
      <c r="W36">
        <v>3.234</v>
      </c>
      <c r="X36">
        <v>0.5</v>
      </c>
      <c r="Y36">
        <v>4.4999999999999998E-2</v>
      </c>
    </row>
    <row r="37" spans="3:25" x14ac:dyDescent="0.25">
      <c r="C37" t="s">
        <v>213</v>
      </c>
      <c r="D37">
        <v>854</v>
      </c>
      <c r="E37">
        <v>3472.482</v>
      </c>
      <c r="F37">
        <v>3079.7060000000001</v>
      </c>
      <c r="G37">
        <v>2722.6579999999999</v>
      </c>
      <c r="H37">
        <v>2306.8850000000002</v>
      </c>
      <c r="I37">
        <v>1919.894</v>
      </c>
      <c r="J37">
        <v>1588.171</v>
      </c>
      <c r="K37">
        <v>1320.365</v>
      </c>
      <c r="L37">
        <v>1107.6679999999999</v>
      </c>
      <c r="M37">
        <v>893.04700000000003</v>
      </c>
      <c r="N37">
        <v>694.08600000000001</v>
      </c>
      <c r="O37">
        <v>553.57899999999995</v>
      </c>
      <c r="P37">
        <v>423.911</v>
      </c>
      <c r="Q37">
        <v>316.84199999999998</v>
      </c>
      <c r="R37">
        <v>222.035</v>
      </c>
      <c r="S37">
        <v>148.02099999999999</v>
      </c>
      <c r="T37">
        <v>86.215999999999994</v>
      </c>
      <c r="U37">
        <v>36.133000000000003</v>
      </c>
      <c r="V37">
        <v>9.8729999999999993</v>
      </c>
      <c r="W37">
        <v>1.579</v>
      </c>
      <c r="X37">
        <v>0.126</v>
      </c>
      <c r="Y37">
        <v>1E-3</v>
      </c>
    </row>
    <row r="38" spans="3:25" x14ac:dyDescent="0.25">
      <c r="C38" t="s">
        <v>214</v>
      </c>
      <c r="D38">
        <v>132</v>
      </c>
      <c r="E38">
        <v>51.932000000000002</v>
      </c>
      <c r="F38">
        <v>53.143999999999998</v>
      </c>
      <c r="G38">
        <v>51.052999999999997</v>
      </c>
      <c r="H38">
        <v>48.884</v>
      </c>
      <c r="I38">
        <v>45.959000000000003</v>
      </c>
      <c r="J38">
        <v>51.886000000000003</v>
      </c>
      <c r="K38">
        <v>52.533000000000001</v>
      </c>
      <c r="L38">
        <v>45.753</v>
      </c>
      <c r="M38">
        <v>35.783999999999999</v>
      </c>
      <c r="N38">
        <v>29.122</v>
      </c>
      <c r="O38">
        <v>25.257000000000001</v>
      </c>
      <c r="P38">
        <v>22.655000000000001</v>
      </c>
      <c r="Q38">
        <v>15.414</v>
      </c>
      <c r="R38">
        <v>10.959</v>
      </c>
      <c r="S38">
        <v>4.7309999999999999</v>
      </c>
      <c r="T38">
        <v>4.3250000000000002</v>
      </c>
      <c r="U38">
        <v>3.8959999999999999</v>
      </c>
      <c r="V38">
        <v>2.0819999999999999</v>
      </c>
      <c r="W38">
        <v>0.56000000000000005</v>
      </c>
      <c r="X38">
        <v>5.3999999999999999E-2</v>
      </c>
      <c r="Y38">
        <v>5.0000000000000001E-3</v>
      </c>
    </row>
    <row r="39" spans="3:25" x14ac:dyDescent="0.25">
      <c r="C39" t="s">
        <v>373</v>
      </c>
      <c r="D39">
        <v>384</v>
      </c>
      <c r="E39">
        <v>4131.2</v>
      </c>
      <c r="F39">
        <v>3619.0859999999998</v>
      </c>
      <c r="G39">
        <v>3198.933</v>
      </c>
      <c r="H39">
        <v>2905.9250000000002</v>
      </c>
      <c r="I39">
        <v>2538.4810000000002</v>
      </c>
      <c r="J39">
        <v>2122.5129999999999</v>
      </c>
      <c r="K39">
        <v>1741.0719999999999</v>
      </c>
      <c r="L39">
        <v>1431.143</v>
      </c>
      <c r="M39">
        <v>1185.297</v>
      </c>
      <c r="N39">
        <v>932.255</v>
      </c>
      <c r="O39">
        <v>738.52099999999996</v>
      </c>
      <c r="P39">
        <v>598.70500000000004</v>
      </c>
      <c r="Q39">
        <v>474.76900000000001</v>
      </c>
      <c r="R39">
        <v>347.29700000000003</v>
      </c>
      <c r="S39">
        <v>214.636</v>
      </c>
      <c r="T39">
        <v>127.108</v>
      </c>
      <c r="U39">
        <v>54.991999999999997</v>
      </c>
      <c r="V39">
        <v>14.476000000000001</v>
      </c>
      <c r="W39">
        <v>1.776</v>
      </c>
      <c r="X39">
        <v>8.6999999999999994E-2</v>
      </c>
      <c r="Y39">
        <v>3.0000000000000001E-3</v>
      </c>
    </row>
    <row r="40" spans="3:25" x14ac:dyDescent="0.25">
      <c r="C40" t="s">
        <v>374</v>
      </c>
      <c r="D40">
        <v>270</v>
      </c>
      <c r="E40">
        <v>409.50599999999997</v>
      </c>
      <c r="F40">
        <v>352.80399999999997</v>
      </c>
      <c r="G40">
        <v>299.82</v>
      </c>
      <c r="H40">
        <v>257.03699999999998</v>
      </c>
      <c r="I40">
        <v>228.18299999999999</v>
      </c>
      <c r="J40">
        <v>200.99600000000001</v>
      </c>
      <c r="K40">
        <v>160.38499999999999</v>
      </c>
      <c r="L40">
        <v>122.746</v>
      </c>
      <c r="M40">
        <v>97.721000000000004</v>
      </c>
      <c r="N40">
        <v>76.346000000000004</v>
      </c>
      <c r="O40">
        <v>65.53</v>
      </c>
      <c r="P40">
        <v>50.381</v>
      </c>
      <c r="Q40">
        <v>34.036000000000001</v>
      </c>
      <c r="R40">
        <v>25.245000000000001</v>
      </c>
      <c r="S40">
        <v>19.007000000000001</v>
      </c>
      <c r="T40">
        <v>11.000999999999999</v>
      </c>
      <c r="U40">
        <v>4.5359999999999996</v>
      </c>
      <c r="V40">
        <v>1.198</v>
      </c>
      <c r="W40">
        <v>0.17399999999999999</v>
      </c>
      <c r="X40">
        <v>1.2E-2</v>
      </c>
      <c r="Y40">
        <v>0</v>
      </c>
    </row>
    <row r="41" spans="3:25" x14ac:dyDescent="0.25">
      <c r="C41" t="s">
        <v>237</v>
      </c>
      <c r="D41">
        <v>288</v>
      </c>
      <c r="E41">
        <v>4169.4359999999997</v>
      </c>
      <c r="F41">
        <v>3888.4349999999999</v>
      </c>
      <c r="G41">
        <v>3479.8710000000001</v>
      </c>
      <c r="H41">
        <v>3136.85</v>
      </c>
      <c r="I41">
        <v>2860.3359999999998</v>
      </c>
      <c r="J41">
        <v>2538.2550000000001</v>
      </c>
      <c r="K41">
        <v>2266.0619999999999</v>
      </c>
      <c r="L41">
        <v>1924.356</v>
      </c>
      <c r="M41">
        <v>1625.913</v>
      </c>
      <c r="N41">
        <v>1405.337</v>
      </c>
      <c r="O41">
        <v>1189.26</v>
      </c>
      <c r="P41">
        <v>945.71900000000005</v>
      </c>
      <c r="Q41">
        <v>667.31200000000001</v>
      </c>
      <c r="R41">
        <v>423.755</v>
      </c>
      <c r="S41">
        <v>298.34399999999999</v>
      </c>
      <c r="T41">
        <v>158.446</v>
      </c>
      <c r="U41">
        <v>69.641000000000005</v>
      </c>
      <c r="V41">
        <v>21.411999999999999</v>
      </c>
      <c r="W41">
        <v>3.84</v>
      </c>
      <c r="X41">
        <v>0.35</v>
      </c>
      <c r="Y41">
        <v>1.4999999999999999E-2</v>
      </c>
    </row>
    <row r="42" spans="3:25" x14ac:dyDescent="0.25">
      <c r="C42" t="s">
        <v>240</v>
      </c>
      <c r="D42">
        <v>324</v>
      </c>
      <c r="E42">
        <v>2100.1109999999999</v>
      </c>
      <c r="F42">
        <v>1865.5129999999999</v>
      </c>
      <c r="G42">
        <v>1687.9059999999999</v>
      </c>
      <c r="H42">
        <v>1511.548</v>
      </c>
      <c r="I42">
        <v>1305.0250000000001</v>
      </c>
      <c r="J42">
        <v>1060.7139999999999</v>
      </c>
      <c r="K42">
        <v>828.43899999999996</v>
      </c>
      <c r="L42">
        <v>642.42700000000002</v>
      </c>
      <c r="M42">
        <v>500.18099999999998</v>
      </c>
      <c r="N42">
        <v>398.25799999999998</v>
      </c>
      <c r="O42">
        <v>332.92099999999999</v>
      </c>
      <c r="P42">
        <v>281.60300000000001</v>
      </c>
      <c r="Q42">
        <v>230.42699999999999</v>
      </c>
      <c r="R42">
        <v>177.72200000000001</v>
      </c>
      <c r="S42">
        <v>105.836</v>
      </c>
      <c r="T42">
        <v>65.414000000000001</v>
      </c>
      <c r="U42">
        <v>29.196999999999999</v>
      </c>
      <c r="V42">
        <v>8.1820000000000004</v>
      </c>
      <c r="W42">
        <v>1.27</v>
      </c>
      <c r="X42">
        <v>9.4E-2</v>
      </c>
      <c r="Y42">
        <v>4.0000000000000001E-3</v>
      </c>
    </row>
    <row r="43" spans="3:25" x14ac:dyDescent="0.25">
      <c r="C43" t="s">
        <v>375</v>
      </c>
      <c r="D43">
        <v>624</v>
      </c>
      <c r="E43">
        <v>305.11099999999999</v>
      </c>
      <c r="F43">
        <v>277.238</v>
      </c>
      <c r="G43">
        <v>242.77799999999999</v>
      </c>
      <c r="H43">
        <v>207.251</v>
      </c>
      <c r="I43">
        <v>180.99100000000001</v>
      </c>
      <c r="J43">
        <v>161.393</v>
      </c>
      <c r="K43">
        <v>138.905</v>
      </c>
      <c r="L43">
        <v>115.601</v>
      </c>
      <c r="M43">
        <v>87.932000000000002</v>
      </c>
      <c r="N43">
        <v>68.643000000000001</v>
      </c>
      <c r="O43">
        <v>51.100999999999999</v>
      </c>
      <c r="P43">
        <v>41.087000000000003</v>
      </c>
      <c r="Q43">
        <v>33.174999999999997</v>
      </c>
      <c r="R43">
        <v>27.241</v>
      </c>
      <c r="S43">
        <v>15.609</v>
      </c>
      <c r="T43">
        <v>9.0280000000000005</v>
      </c>
      <c r="U43">
        <v>3.7010000000000001</v>
      </c>
      <c r="V43">
        <v>1.0620000000000001</v>
      </c>
      <c r="W43">
        <v>0.14399999999999999</v>
      </c>
      <c r="X43">
        <v>7.0000000000000001E-3</v>
      </c>
      <c r="Y43">
        <v>0</v>
      </c>
    </row>
    <row r="44" spans="3:25" x14ac:dyDescent="0.25">
      <c r="C44" t="s">
        <v>264</v>
      </c>
      <c r="D44">
        <v>430</v>
      </c>
      <c r="E44">
        <v>740.49300000000005</v>
      </c>
      <c r="F44">
        <v>678.32299999999998</v>
      </c>
      <c r="G44">
        <v>623.08000000000004</v>
      </c>
      <c r="H44">
        <v>551.94500000000005</v>
      </c>
      <c r="I44">
        <v>463.072</v>
      </c>
      <c r="J44">
        <v>377.78100000000001</v>
      </c>
      <c r="K44">
        <v>334.30500000000001</v>
      </c>
      <c r="L44">
        <v>295.50299999999999</v>
      </c>
      <c r="M44">
        <v>245.405</v>
      </c>
      <c r="N44">
        <v>198.791</v>
      </c>
      <c r="O44">
        <v>158.07499999999999</v>
      </c>
      <c r="P44">
        <v>125.753</v>
      </c>
      <c r="Q44">
        <v>97.311999999999998</v>
      </c>
      <c r="R44">
        <v>71.158000000000001</v>
      </c>
      <c r="S44">
        <v>45.006999999999998</v>
      </c>
      <c r="T44">
        <v>31.448</v>
      </c>
      <c r="U44">
        <v>15.002000000000001</v>
      </c>
      <c r="V44">
        <v>4.5199999999999996</v>
      </c>
      <c r="W44">
        <v>0.66700000000000004</v>
      </c>
      <c r="X44">
        <v>3.6999999999999998E-2</v>
      </c>
      <c r="Y44">
        <v>0</v>
      </c>
    </row>
    <row r="45" spans="3:25" x14ac:dyDescent="0.25">
      <c r="C45" t="s">
        <v>376</v>
      </c>
      <c r="D45">
        <v>466</v>
      </c>
      <c r="E45">
        <v>3605.5140000000001</v>
      </c>
      <c r="F45">
        <v>3154.8049999999998</v>
      </c>
      <c r="G45">
        <v>2759.0520000000001</v>
      </c>
      <c r="H45">
        <v>2250.41</v>
      </c>
      <c r="I45">
        <v>1775.973</v>
      </c>
      <c r="J45">
        <v>1427.845</v>
      </c>
      <c r="K45">
        <v>1167.473</v>
      </c>
      <c r="L45">
        <v>992.98199999999997</v>
      </c>
      <c r="M45">
        <v>827.08900000000006</v>
      </c>
      <c r="N45">
        <v>658.87199999999996</v>
      </c>
      <c r="O45">
        <v>489.221</v>
      </c>
      <c r="P45">
        <v>359.89800000000002</v>
      </c>
      <c r="Q45">
        <v>280.05799999999999</v>
      </c>
      <c r="R45">
        <v>221.233</v>
      </c>
      <c r="S45">
        <v>141.233</v>
      </c>
      <c r="T45">
        <v>89.85</v>
      </c>
      <c r="U45">
        <v>36.676000000000002</v>
      </c>
      <c r="V45">
        <v>10.714</v>
      </c>
      <c r="W45">
        <v>1.7909999999999999</v>
      </c>
      <c r="X45">
        <v>0.13800000000000001</v>
      </c>
      <c r="Y45">
        <v>7.0000000000000001E-3</v>
      </c>
    </row>
    <row r="46" spans="3:25" x14ac:dyDescent="0.25">
      <c r="C46" t="s">
        <v>270</v>
      </c>
      <c r="D46">
        <v>478</v>
      </c>
      <c r="E46">
        <v>689.87400000000002</v>
      </c>
      <c r="F46">
        <v>617.95399999999995</v>
      </c>
      <c r="G46">
        <v>537.39400000000001</v>
      </c>
      <c r="H46">
        <v>470.161</v>
      </c>
      <c r="I46">
        <v>416.12700000000001</v>
      </c>
      <c r="J46">
        <v>371.77499999999998</v>
      </c>
      <c r="K46">
        <v>334.30099999999999</v>
      </c>
      <c r="L46">
        <v>285.47800000000001</v>
      </c>
      <c r="M46">
        <v>234.61500000000001</v>
      </c>
      <c r="N46">
        <v>188.017</v>
      </c>
      <c r="O46">
        <v>149.65799999999999</v>
      </c>
      <c r="P46">
        <v>117.492</v>
      </c>
      <c r="Q46">
        <v>89.051000000000002</v>
      </c>
      <c r="R46">
        <v>62.021999999999998</v>
      </c>
      <c r="S46">
        <v>41.686</v>
      </c>
      <c r="T46">
        <v>25.5</v>
      </c>
      <c r="U46">
        <v>12.755000000000001</v>
      </c>
      <c r="V46">
        <v>4.6159999999999997</v>
      </c>
      <c r="W46">
        <v>1.042</v>
      </c>
      <c r="X46">
        <v>0.13300000000000001</v>
      </c>
      <c r="Y46">
        <v>8.9999999999999993E-3</v>
      </c>
    </row>
    <row r="47" spans="3:25" x14ac:dyDescent="0.25">
      <c r="C47" t="s">
        <v>283</v>
      </c>
      <c r="D47">
        <v>562</v>
      </c>
      <c r="E47">
        <v>4787.4740000000002</v>
      </c>
      <c r="F47">
        <v>3970.5520000000001</v>
      </c>
      <c r="G47">
        <v>3265.89</v>
      </c>
      <c r="H47">
        <v>2635.2350000000001</v>
      </c>
      <c r="I47">
        <v>2086.8620000000001</v>
      </c>
      <c r="J47">
        <v>1630.4949999999999</v>
      </c>
      <c r="K47">
        <v>1265.9079999999999</v>
      </c>
      <c r="L47">
        <v>993.10699999999997</v>
      </c>
      <c r="M47">
        <v>838.02499999999998</v>
      </c>
      <c r="N47">
        <v>690.66899999999998</v>
      </c>
      <c r="O47">
        <v>561.35</v>
      </c>
      <c r="P47">
        <v>485.5</v>
      </c>
      <c r="Q47">
        <v>367.14400000000001</v>
      </c>
      <c r="R47">
        <v>277.60500000000002</v>
      </c>
      <c r="S47">
        <v>189.654</v>
      </c>
      <c r="T47">
        <v>106.30500000000001</v>
      </c>
      <c r="U47">
        <v>41.927999999999997</v>
      </c>
      <c r="V47">
        <v>11.144</v>
      </c>
      <c r="W47">
        <v>1.661</v>
      </c>
      <c r="X47">
        <v>0.124</v>
      </c>
      <c r="Y47">
        <v>4.0000000000000001E-3</v>
      </c>
    </row>
    <row r="48" spans="3:25" x14ac:dyDescent="0.25">
      <c r="C48" t="s">
        <v>284</v>
      </c>
      <c r="D48">
        <v>566</v>
      </c>
      <c r="E48">
        <v>33938.794999999998</v>
      </c>
      <c r="F48">
        <v>29913.646000000001</v>
      </c>
      <c r="G48">
        <v>25792.742999999999</v>
      </c>
      <c r="H48">
        <v>21910.447</v>
      </c>
      <c r="I48">
        <v>18068.574000000001</v>
      </c>
      <c r="J48">
        <v>15108.844999999999</v>
      </c>
      <c r="K48">
        <v>13044.512000000001</v>
      </c>
      <c r="L48">
        <v>11323.538</v>
      </c>
      <c r="M48">
        <v>9458.643</v>
      </c>
      <c r="N48">
        <v>7578.8180000000002</v>
      </c>
      <c r="O48">
        <v>5943.4690000000001</v>
      </c>
      <c r="P48">
        <v>4756.7020000000002</v>
      </c>
      <c r="Q48">
        <v>3656.623</v>
      </c>
      <c r="R48">
        <v>2601.9029999999998</v>
      </c>
      <c r="S48">
        <v>1716.912</v>
      </c>
      <c r="T48">
        <v>906.79100000000005</v>
      </c>
      <c r="U48">
        <v>333.34800000000001</v>
      </c>
      <c r="V48">
        <v>75.438000000000002</v>
      </c>
      <c r="W48">
        <v>9.1709999999999994</v>
      </c>
      <c r="X48">
        <v>0.63900000000000001</v>
      </c>
      <c r="Y48">
        <v>0.03</v>
      </c>
    </row>
    <row r="49" spans="3:25" x14ac:dyDescent="0.25">
      <c r="C49" t="s">
        <v>301</v>
      </c>
      <c r="D49">
        <v>686</v>
      </c>
      <c r="E49">
        <v>2615.3409999999999</v>
      </c>
      <c r="F49">
        <v>2417.2399999999998</v>
      </c>
      <c r="G49">
        <v>2098.9189999999999</v>
      </c>
      <c r="H49">
        <v>1764.7829999999999</v>
      </c>
      <c r="I49">
        <v>1519.0419999999999</v>
      </c>
      <c r="J49">
        <v>1304.492</v>
      </c>
      <c r="K49">
        <v>1110.693</v>
      </c>
      <c r="L49">
        <v>940.59900000000005</v>
      </c>
      <c r="M49">
        <v>741.96600000000001</v>
      </c>
      <c r="N49">
        <v>589.86199999999997</v>
      </c>
      <c r="O49">
        <v>467.26499999999999</v>
      </c>
      <c r="P49">
        <v>367.435</v>
      </c>
      <c r="Q49">
        <v>285.86599999999999</v>
      </c>
      <c r="R49">
        <v>219.898</v>
      </c>
      <c r="S49">
        <v>145.62299999999999</v>
      </c>
      <c r="T49">
        <v>93.558999999999997</v>
      </c>
      <c r="U49">
        <v>45.112000000000002</v>
      </c>
      <c r="V49">
        <v>13.763999999999999</v>
      </c>
      <c r="W49">
        <v>2.2799999999999998</v>
      </c>
      <c r="X49">
        <v>0.185</v>
      </c>
      <c r="Y49">
        <v>6.0000000000000001E-3</v>
      </c>
    </row>
    <row r="50" spans="3:25" x14ac:dyDescent="0.25">
      <c r="C50" t="s">
        <v>304</v>
      </c>
      <c r="D50">
        <v>694</v>
      </c>
      <c r="E50">
        <v>1158.6510000000001</v>
      </c>
      <c r="F50">
        <v>1067.2339999999999</v>
      </c>
      <c r="G50">
        <v>992.31899999999996</v>
      </c>
      <c r="H50">
        <v>874.87699999999995</v>
      </c>
      <c r="I50">
        <v>754.02099999999996</v>
      </c>
      <c r="J50">
        <v>651.49300000000005</v>
      </c>
      <c r="K50">
        <v>553.89300000000003</v>
      </c>
      <c r="L50">
        <v>463.15699999999998</v>
      </c>
      <c r="M50">
        <v>373.11900000000003</v>
      </c>
      <c r="N50">
        <v>299.77499999999998</v>
      </c>
      <c r="O50">
        <v>236.393</v>
      </c>
      <c r="P50">
        <v>182.74</v>
      </c>
      <c r="Q50">
        <v>135.79900000000001</v>
      </c>
      <c r="R50">
        <v>98.225999999999999</v>
      </c>
      <c r="S50">
        <v>68.338999999999999</v>
      </c>
      <c r="T50">
        <v>40.47</v>
      </c>
      <c r="U50">
        <v>18.574000000000002</v>
      </c>
      <c r="V50">
        <v>6.2640000000000002</v>
      </c>
      <c r="W50">
        <v>1.4259999999999999</v>
      </c>
      <c r="X50">
        <v>0.19800000000000001</v>
      </c>
      <c r="Y50">
        <v>1.7000000000000001E-2</v>
      </c>
    </row>
    <row r="51" spans="3:25" x14ac:dyDescent="0.25">
      <c r="C51" t="s">
        <v>377</v>
      </c>
      <c r="D51">
        <v>768</v>
      </c>
      <c r="E51">
        <v>1220.06</v>
      </c>
      <c r="F51">
        <v>1120.1210000000001</v>
      </c>
      <c r="G51">
        <v>1023.991</v>
      </c>
      <c r="H51">
        <v>891.005</v>
      </c>
      <c r="I51">
        <v>743.73299999999995</v>
      </c>
      <c r="J51">
        <v>631.52800000000002</v>
      </c>
      <c r="K51">
        <v>567.255</v>
      </c>
      <c r="L51">
        <v>497.30200000000002</v>
      </c>
      <c r="M51">
        <v>414.56400000000002</v>
      </c>
      <c r="N51">
        <v>329.95299999999997</v>
      </c>
      <c r="O51">
        <v>254.83199999999999</v>
      </c>
      <c r="P51">
        <v>195.88200000000001</v>
      </c>
      <c r="Q51">
        <v>148.012</v>
      </c>
      <c r="R51">
        <v>107.925</v>
      </c>
      <c r="S51">
        <v>71.771000000000001</v>
      </c>
      <c r="T51">
        <v>39.722000000000001</v>
      </c>
      <c r="U51">
        <v>16.178999999999998</v>
      </c>
      <c r="V51">
        <v>4.2409999999999997</v>
      </c>
      <c r="W51">
        <v>0.61599999999999999</v>
      </c>
      <c r="X51">
        <v>4.4999999999999998E-2</v>
      </c>
      <c r="Y51">
        <v>0</v>
      </c>
    </row>
    <row r="52" spans="3:25" x14ac:dyDescent="0.25">
      <c r="C52" t="s">
        <v>193</v>
      </c>
      <c r="D52">
        <v>12</v>
      </c>
      <c r="E52">
        <v>5041.518</v>
      </c>
      <c r="F52">
        <v>4635.9719999999998</v>
      </c>
      <c r="G52">
        <v>3821.402</v>
      </c>
      <c r="H52">
        <v>2910.3449999999998</v>
      </c>
      <c r="I52">
        <v>2999.837</v>
      </c>
      <c r="J52">
        <v>3573.8780000000002</v>
      </c>
      <c r="K52">
        <v>3727.7190000000001</v>
      </c>
      <c r="L52">
        <v>3547.5160000000001</v>
      </c>
      <c r="M52">
        <v>3014.029</v>
      </c>
      <c r="N52">
        <v>2434.59</v>
      </c>
      <c r="O52">
        <v>2061.884</v>
      </c>
      <c r="P52">
        <v>1738.172</v>
      </c>
      <c r="Q52">
        <v>1387.3420000000001</v>
      </c>
      <c r="R52">
        <v>1143.2</v>
      </c>
      <c r="S52">
        <v>723.93799999999999</v>
      </c>
      <c r="T52">
        <v>513.89599999999996</v>
      </c>
      <c r="U52">
        <v>343.62700000000001</v>
      </c>
      <c r="V52">
        <v>171.04900000000001</v>
      </c>
      <c r="W52">
        <v>51.37</v>
      </c>
      <c r="X52">
        <v>8.7959999999999994</v>
      </c>
      <c r="Y52">
        <v>0.96299999999999997</v>
      </c>
    </row>
    <row r="53" spans="3:25" x14ac:dyDescent="0.25">
      <c r="C53" t="s">
        <v>228</v>
      </c>
      <c r="D53">
        <v>818</v>
      </c>
      <c r="E53">
        <v>12697.212</v>
      </c>
      <c r="F53">
        <v>12331.328</v>
      </c>
      <c r="G53">
        <v>9684.3389999999999</v>
      </c>
      <c r="H53">
        <v>8701.0920000000006</v>
      </c>
      <c r="I53">
        <v>8416.5949999999993</v>
      </c>
      <c r="J53">
        <v>8094.5349999999999</v>
      </c>
      <c r="K53">
        <v>8065.1750000000002</v>
      </c>
      <c r="L53">
        <v>7133.174</v>
      </c>
      <c r="M53">
        <v>6040.5050000000001</v>
      </c>
      <c r="N53">
        <v>4908.0969999999998</v>
      </c>
      <c r="O53">
        <v>4213.2349999999997</v>
      </c>
      <c r="P53">
        <v>3631.6570000000002</v>
      </c>
      <c r="Q53">
        <v>2961.3150000000001</v>
      </c>
      <c r="R53">
        <v>2161.3420000000001</v>
      </c>
      <c r="S53">
        <v>1665.6189999999999</v>
      </c>
      <c r="T53">
        <v>865.36099999999999</v>
      </c>
      <c r="U53">
        <v>483.976</v>
      </c>
      <c r="V53">
        <v>209.595</v>
      </c>
      <c r="W53">
        <v>59</v>
      </c>
      <c r="X53">
        <v>10.284000000000001</v>
      </c>
      <c r="Y53">
        <v>0.96699999999999997</v>
      </c>
    </row>
    <row r="54" spans="3:25" x14ac:dyDescent="0.25">
      <c r="C54" t="s">
        <v>378</v>
      </c>
      <c r="D54">
        <v>434</v>
      </c>
      <c r="E54">
        <v>623.99800000000005</v>
      </c>
      <c r="F54">
        <v>661.423</v>
      </c>
      <c r="G54">
        <v>623.74900000000002</v>
      </c>
      <c r="H54">
        <v>561.995</v>
      </c>
      <c r="I54">
        <v>542.18100000000004</v>
      </c>
      <c r="J54">
        <v>553.23500000000001</v>
      </c>
      <c r="K54">
        <v>585.24</v>
      </c>
      <c r="L54">
        <v>578.22799999999995</v>
      </c>
      <c r="M54">
        <v>564.54999999999995</v>
      </c>
      <c r="N54">
        <v>484.65</v>
      </c>
      <c r="O54">
        <v>371.90699999999998</v>
      </c>
      <c r="P54">
        <v>245.24700000000001</v>
      </c>
      <c r="Q54">
        <v>163.904</v>
      </c>
      <c r="R54">
        <v>120.355</v>
      </c>
      <c r="S54">
        <v>79.790999999999997</v>
      </c>
      <c r="T54">
        <v>59.134999999999998</v>
      </c>
      <c r="U54">
        <v>33.901000000000003</v>
      </c>
      <c r="V54">
        <v>13.772</v>
      </c>
      <c r="W54">
        <v>3.5110000000000001</v>
      </c>
      <c r="X54">
        <v>0.48199999999999998</v>
      </c>
      <c r="Y54">
        <v>3.3000000000000002E-2</v>
      </c>
    </row>
    <row r="55" spans="3:25" x14ac:dyDescent="0.25">
      <c r="C55" t="s">
        <v>275</v>
      </c>
      <c r="D55">
        <v>504</v>
      </c>
      <c r="E55">
        <v>3325.038</v>
      </c>
      <c r="F55">
        <v>3427.5770000000002</v>
      </c>
      <c r="G55">
        <v>3127.6030000000001</v>
      </c>
      <c r="H55">
        <v>2969.5929999999998</v>
      </c>
      <c r="I55">
        <v>2874.3440000000001</v>
      </c>
      <c r="J55">
        <v>3008.9340000000002</v>
      </c>
      <c r="K55">
        <v>2862.5590000000002</v>
      </c>
      <c r="L55">
        <v>2743.797</v>
      </c>
      <c r="M55">
        <v>2360.473</v>
      </c>
      <c r="N55">
        <v>2091.9589999999998</v>
      </c>
      <c r="O55">
        <v>1924.5650000000001</v>
      </c>
      <c r="P55">
        <v>1819.2190000000001</v>
      </c>
      <c r="Q55">
        <v>1567.2380000000001</v>
      </c>
      <c r="R55">
        <v>1167.7809999999999</v>
      </c>
      <c r="S55">
        <v>682.10500000000002</v>
      </c>
      <c r="T55">
        <v>514.97299999999996</v>
      </c>
      <c r="U55">
        <v>310.45699999999999</v>
      </c>
      <c r="V55">
        <v>110.917</v>
      </c>
      <c r="W55">
        <v>19.893000000000001</v>
      </c>
      <c r="X55">
        <v>1.472</v>
      </c>
      <c r="Y55">
        <v>6.0999999999999999E-2</v>
      </c>
    </row>
    <row r="56" spans="3:25" x14ac:dyDescent="0.25">
      <c r="C56" t="s">
        <v>379</v>
      </c>
      <c r="D56">
        <v>729</v>
      </c>
      <c r="E56">
        <v>6339.0780000000004</v>
      </c>
      <c r="F56">
        <v>5789.7280000000001</v>
      </c>
      <c r="G56">
        <v>5322.924</v>
      </c>
      <c r="H56">
        <v>4800.7330000000002</v>
      </c>
      <c r="I56">
        <v>4159.3879999999999</v>
      </c>
      <c r="J56">
        <v>3467.77</v>
      </c>
      <c r="K56">
        <v>2799.335</v>
      </c>
      <c r="L56">
        <v>2403.91</v>
      </c>
      <c r="M56">
        <v>2026.8879999999999</v>
      </c>
      <c r="N56">
        <v>1700.431</v>
      </c>
      <c r="O56">
        <v>1424.556</v>
      </c>
      <c r="P56">
        <v>1128.395</v>
      </c>
      <c r="Q56">
        <v>875.05600000000004</v>
      </c>
      <c r="R56">
        <v>660.904</v>
      </c>
      <c r="S56">
        <v>455.13</v>
      </c>
      <c r="T56">
        <v>277.92099999999999</v>
      </c>
      <c r="U56">
        <v>142.87299999999999</v>
      </c>
      <c r="V56">
        <v>55.962000000000003</v>
      </c>
      <c r="W56">
        <v>15.291</v>
      </c>
      <c r="X56">
        <v>2.714</v>
      </c>
      <c r="Y56">
        <v>0.28199999999999997</v>
      </c>
    </row>
    <row r="57" spans="3:25" x14ac:dyDescent="0.25">
      <c r="C57" t="s">
        <v>320</v>
      </c>
      <c r="D57">
        <v>788</v>
      </c>
      <c r="E57">
        <v>1004.154</v>
      </c>
      <c r="F57">
        <v>1013.605</v>
      </c>
      <c r="G57">
        <v>853.06600000000003</v>
      </c>
      <c r="H57">
        <v>786.87199999999996</v>
      </c>
      <c r="I57">
        <v>821.28700000000003</v>
      </c>
      <c r="J57">
        <v>904.05899999999997</v>
      </c>
      <c r="K57">
        <v>928.18899999999996</v>
      </c>
      <c r="L57">
        <v>985.875</v>
      </c>
      <c r="M57">
        <v>846.84500000000003</v>
      </c>
      <c r="N57">
        <v>725.62599999999998</v>
      </c>
      <c r="O57">
        <v>711.33900000000006</v>
      </c>
      <c r="P57">
        <v>650.16700000000003</v>
      </c>
      <c r="Q57">
        <v>538.87199999999996</v>
      </c>
      <c r="R57">
        <v>423.72199999999998</v>
      </c>
      <c r="S57">
        <v>250.363</v>
      </c>
      <c r="T57">
        <v>173.74299999999999</v>
      </c>
      <c r="U57">
        <v>119.672</v>
      </c>
      <c r="V57">
        <v>61.5</v>
      </c>
      <c r="W57">
        <v>16.314</v>
      </c>
      <c r="X57">
        <v>3.0979999999999999</v>
      </c>
      <c r="Y57">
        <v>0.25</v>
      </c>
    </row>
    <row r="58" spans="3:25" x14ac:dyDescent="0.25">
      <c r="C58" t="s">
        <v>380</v>
      </c>
      <c r="D58">
        <v>732</v>
      </c>
      <c r="E58">
        <v>56.47</v>
      </c>
      <c r="F58">
        <v>56.124000000000002</v>
      </c>
      <c r="G58">
        <v>49.832000000000001</v>
      </c>
      <c r="H58">
        <v>48.536999999999999</v>
      </c>
      <c r="I58">
        <v>50.164999999999999</v>
      </c>
      <c r="J58">
        <v>54.82</v>
      </c>
      <c r="K58">
        <v>56.161999999999999</v>
      </c>
      <c r="L58">
        <v>52.552999999999997</v>
      </c>
      <c r="M58">
        <v>45.719000000000001</v>
      </c>
      <c r="N58">
        <v>37.075000000000003</v>
      </c>
      <c r="O58">
        <v>29.218</v>
      </c>
      <c r="P58">
        <v>22.733000000000001</v>
      </c>
      <c r="Q58">
        <v>17.632000000000001</v>
      </c>
      <c r="R58">
        <v>10.742000000000001</v>
      </c>
      <c r="S58">
        <v>5.0940000000000003</v>
      </c>
      <c r="T58">
        <v>2.5179999999999998</v>
      </c>
      <c r="U58">
        <v>1.3169999999999999</v>
      </c>
      <c r="V58">
        <v>0.48099999999999998</v>
      </c>
      <c r="W58">
        <v>0.121</v>
      </c>
      <c r="X58">
        <v>1.6E-2</v>
      </c>
      <c r="Y58">
        <v>1E-3</v>
      </c>
    </row>
    <row r="59" spans="3:25" x14ac:dyDescent="0.25">
      <c r="C59" t="s">
        <v>196</v>
      </c>
      <c r="D59">
        <v>51</v>
      </c>
      <c r="E59">
        <v>204.98699999999999</v>
      </c>
      <c r="F59">
        <v>213.87200000000001</v>
      </c>
      <c r="G59">
        <v>198.453</v>
      </c>
      <c r="H59">
        <v>170.477</v>
      </c>
      <c r="I59">
        <v>176.49700000000001</v>
      </c>
      <c r="J59">
        <v>232.42699999999999</v>
      </c>
      <c r="K59">
        <v>267.19099999999997</v>
      </c>
      <c r="L59">
        <v>236.762</v>
      </c>
      <c r="M59">
        <v>190.75899999999999</v>
      </c>
      <c r="N59">
        <v>162.32900000000001</v>
      </c>
      <c r="O59">
        <v>163.255</v>
      </c>
      <c r="P59">
        <v>199.398</v>
      </c>
      <c r="Q59">
        <v>197.08099999999999</v>
      </c>
      <c r="R59">
        <v>131.321</v>
      </c>
      <c r="S59">
        <v>84.343000000000004</v>
      </c>
      <c r="T59">
        <v>42.4</v>
      </c>
      <c r="U59">
        <v>59.253999999999998</v>
      </c>
      <c r="V59">
        <v>21.8</v>
      </c>
      <c r="W59">
        <v>9.0830000000000002</v>
      </c>
      <c r="X59">
        <v>1.329</v>
      </c>
      <c r="Y59">
        <v>0.216</v>
      </c>
    </row>
    <row r="60" spans="3:25" x14ac:dyDescent="0.25">
      <c r="C60" t="s">
        <v>199</v>
      </c>
      <c r="D60">
        <v>31</v>
      </c>
      <c r="E60">
        <v>825.39800000000002</v>
      </c>
      <c r="F60">
        <v>860.64</v>
      </c>
      <c r="G60">
        <v>698.221</v>
      </c>
      <c r="H60">
        <v>637.23699999999997</v>
      </c>
      <c r="I60">
        <v>719.12699999999995</v>
      </c>
      <c r="J60">
        <v>889.85799999999995</v>
      </c>
      <c r="K60">
        <v>941.226</v>
      </c>
      <c r="L60">
        <v>825.46600000000001</v>
      </c>
      <c r="M60">
        <v>664.20500000000004</v>
      </c>
      <c r="N60">
        <v>616.59799999999996</v>
      </c>
      <c r="O60">
        <v>628.44899999999996</v>
      </c>
      <c r="P60">
        <v>652.62699999999995</v>
      </c>
      <c r="Q60">
        <v>496.58600000000001</v>
      </c>
      <c r="R60">
        <v>307.72199999999998</v>
      </c>
      <c r="S60">
        <v>152.03899999999999</v>
      </c>
      <c r="T60">
        <v>90.722999999999999</v>
      </c>
      <c r="U60">
        <v>87.796999999999997</v>
      </c>
      <c r="V60">
        <v>35.125</v>
      </c>
      <c r="W60">
        <v>8.7309999999999999</v>
      </c>
      <c r="X60">
        <v>1.292</v>
      </c>
      <c r="Y60">
        <v>0.108</v>
      </c>
    </row>
    <row r="61" spans="3:25" x14ac:dyDescent="0.25">
      <c r="C61" t="s">
        <v>201</v>
      </c>
      <c r="D61">
        <v>48</v>
      </c>
      <c r="E61">
        <v>108.054</v>
      </c>
      <c r="F61">
        <v>110.081</v>
      </c>
      <c r="G61">
        <v>92.953999999999994</v>
      </c>
      <c r="H61">
        <v>88.900999999999996</v>
      </c>
      <c r="I61">
        <v>91.683999999999997</v>
      </c>
      <c r="J61">
        <v>214.98599999999999</v>
      </c>
      <c r="K61">
        <v>293.46100000000001</v>
      </c>
      <c r="L61">
        <v>214.27199999999999</v>
      </c>
      <c r="M61">
        <v>148.286</v>
      </c>
      <c r="N61">
        <v>108.435</v>
      </c>
      <c r="O61">
        <v>81.177000000000007</v>
      </c>
      <c r="P61">
        <v>59.054000000000002</v>
      </c>
      <c r="Q61">
        <v>45.12</v>
      </c>
      <c r="R61">
        <v>21.452000000000002</v>
      </c>
      <c r="S61">
        <v>10.958</v>
      </c>
      <c r="T61">
        <v>6.86</v>
      </c>
      <c r="U61">
        <v>3.9569999999999999</v>
      </c>
      <c r="V61">
        <v>1.3149999999999999</v>
      </c>
      <c r="W61">
        <v>0.50900000000000001</v>
      </c>
      <c r="X61">
        <v>0.06</v>
      </c>
      <c r="Y61">
        <v>7.0000000000000001E-3</v>
      </c>
    </row>
    <row r="62" spans="3:25" x14ac:dyDescent="0.25">
      <c r="C62" t="s">
        <v>224</v>
      </c>
      <c r="D62">
        <v>196</v>
      </c>
      <c r="E62">
        <v>64.816999999999993</v>
      </c>
      <c r="F62">
        <v>67.575999999999993</v>
      </c>
      <c r="G62">
        <v>67.754999999999995</v>
      </c>
      <c r="H62">
        <v>73.902000000000001</v>
      </c>
      <c r="I62">
        <v>93.462000000000003</v>
      </c>
      <c r="J62">
        <v>98.34</v>
      </c>
      <c r="K62">
        <v>96.456000000000003</v>
      </c>
      <c r="L62">
        <v>91.933000000000007</v>
      </c>
      <c r="M62">
        <v>87.236999999999995</v>
      </c>
      <c r="N62">
        <v>79.391000000000005</v>
      </c>
      <c r="O62">
        <v>75.781999999999996</v>
      </c>
      <c r="P62">
        <v>71.756</v>
      </c>
      <c r="Q62">
        <v>64.989000000000004</v>
      </c>
      <c r="R62">
        <v>55.411999999999999</v>
      </c>
      <c r="S62">
        <v>45.844000000000001</v>
      </c>
      <c r="T62">
        <v>32.837000000000003</v>
      </c>
      <c r="U62">
        <v>23.170999999999999</v>
      </c>
      <c r="V62">
        <v>11.478999999999999</v>
      </c>
      <c r="W62">
        <v>4.2690000000000001</v>
      </c>
      <c r="X62">
        <v>0.85399999999999998</v>
      </c>
      <c r="Y62">
        <v>9.9000000000000005E-2</v>
      </c>
    </row>
    <row r="63" spans="3:25" x14ac:dyDescent="0.25">
      <c r="C63" t="s">
        <v>235</v>
      </c>
      <c r="D63">
        <v>268</v>
      </c>
      <c r="E63">
        <v>268.34500000000003</v>
      </c>
      <c r="F63">
        <v>284.81799999999998</v>
      </c>
      <c r="G63">
        <v>253.46199999999999</v>
      </c>
      <c r="H63">
        <v>217.595</v>
      </c>
      <c r="I63">
        <v>233.41300000000001</v>
      </c>
      <c r="J63">
        <v>267.28500000000003</v>
      </c>
      <c r="K63">
        <v>289.58499999999998</v>
      </c>
      <c r="L63">
        <v>275.49099999999999</v>
      </c>
      <c r="M63">
        <v>263.94799999999998</v>
      </c>
      <c r="N63">
        <v>253.99799999999999</v>
      </c>
      <c r="O63">
        <v>245.82</v>
      </c>
      <c r="P63">
        <v>277.803</v>
      </c>
      <c r="Q63">
        <v>249.13</v>
      </c>
      <c r="R63">
        <v>210.72800000000001</v>
      </c>
      <c r="S63">
        <v>150.386</v>
      </c>
      <c r="T63">
        <v>98.4</v>
      </c>
      <c r="U63">
        <v>96.49</v>
      </c>
      <c r="V63">
        <v>36.976999999999997</v>
      </c>
      <c r="W63">
        <v>13.532999999999999</v>
      </c>
      <c r="X63">
        <v>1.8460000000000001</v>
      </c>
      <c r="Y63">
        <v>0.122</v>
      </c>
    </row>
    <row r="64" spans="3:25" x14ac:dyDescent="0.25">
      <c r="C64" t="s">
        <v>249</v>
      </c>
      <c r="D64">
        <v>368</v>
      </c>
      <c r="E64">
        <v>5380.4229999999998</v>
      </c>
      <c r="F64">
        <v>5229.8069999999998</v>
      </c>
      <c r="G64">
        <v>4559.1809999999996</v>
      </c>
      <c r="H64">
        <v>4151.576</v>
      </c>
      <c r="I64">
        <v>3799.8710000000001</v>
      </c>
      <c r="J64">
        <v>3365.7190000000001</v>
      </c>
      <c r="K64">
        <v>2927.3620000000001</v>
      </c>
      <c r="L64">
        <v>2476.3209999999999</v>
      </c>
      <c r="M64">
        <v>2150.018</v>
      </c>
      <c r="N64">
        <v>1786.6020000000001</v>
      </c>
      <c r="O64">
        <v>1414.9949999999999</v>
      </c>
      <c r="P64">
        <v>926.15700000000004</v>
      </c>
      <c r="Q64">
        <v>669.71600000000001</v>
      </c>
      <c r="R64">
        <v>622.67700000000002</v>
      </c>
      <c r="S64">
        <v>331.94499999999999</v>
      </c>
      <c r="T64">
        <v>241.773</v>
      </c>
      <c r="U64">
        <v>126.60599999999999</v>
      </c>
      <c r="V64">
        <v>48.393000000000001</v>
      </c>
      <c r="W64">
        <v>11.523999999999999</v>
      </c>
      <c r="X64">
        <v>1.67</v>
      </c>
      <c r="Y64">
        <v>0.16700000000000001</v>
      </c>
    </row>
    <row r="65" spans="3:25" x14ac:dyDescent="0.25">
      <c r="C65" t="s">
        <v>251</v>
      </c>
      <c r="D65">
        <v>376</v>
      </c>
      <c r="E65">
        <v>847.82799999999997</v>
      </c>
      <c r="F65">
        <v>823.26800000000003</v>
      </c>
      <c r="G65">
        <v>737.60900000000004</v>
      </c>
      <c r="H65">
        <v>667.45399999999995</v>
      </c>
      <c r="I65">
        <v>623.97299999999996</v>
      </c>
      <c r="J65">
        <v>573.00199999999995</v>
      </c>
      <c r="K65">
        <v>564.70799999999997</v>
      </c>
      <c r="L65">
        <v>557.53700000000003</v>
      </c>
      <c r="M65">
        <v>543.67200000000003</v>
      </c>
      <c r="N65">
        <v>496.505</v>
      </c>
      <c r="O65">
        <v>417.52100000000002</v>
      </c>
      <c r="P65">
        <v>377.97500000000002</v>
      </c>
      <c r="Q65">
        <v>349.95699999999999</v>
      </c>
      <c r="R65">
        <v>353.68599999999998</v>
      </c>
      <c r="S65">
        <v>288.69900000000001</v>
      </c>
      <c r="T65">
        <v>170.96100000000001</v>
      </c>
      <c r="U65">
        <v>124.414</v>
      </c>
      <c r="V65">
        <v>83.85</v>
      </c>
      <c r="W65">
        <v>40.125999999999998</v>
      </c>
      <c r="X65">
        <v>11.548</v>
      </c>
      <c r="Y65">
        <v>1.248</v>
      </c>
    </row>
    <row r="66" spans="3:25" x14ac:dyDescent="0.25">
      <c r="C66" t="s">
        <v>255</v>
      </c>
      <c r="D66">
        <v>400</v>
      </c>
      <c r="E66">
        <v>1058.1220000000001</v>
      </c>
      <c r="F66">
        <v>1154.441</v>
      </c>
      <c r="G66">
        <v>1139.559</v>
      </c>
      <c r="H66">
        <v>1040.2940000000001</v>
      </c>
      <c r="I66">
        <v>940.15099999999995</v>
      </c>
      <c r="J66">
        <v>862.38499999999999</v>
      </c>
      <c r="K66">
        <v>777.48199999999997</v>
      </c>
      <c r="L66">
        <v>713.12599999999998</v>
      </c>
      <c r="M66">
        <v>606.71699999999998</v>
      </c>
      <c r="N66">
        <v>534.62800000000004</v>
      </c>
      <c r="O66">
        <v>433.22300000000001</v>
      </c>
      <c r="P66">
        <v>322.36799999999999</v>
      </c>
      <c r="Q66">
        <v>217.239</v>
      </c>
      <c r="R66">
        <v>149.03899999999999</v>
      </c>
      <c r="S66">
        <v>111.52800000000001</v>
      </c>
      <c r="T66">
        <v>79.222999999999999</v>
      </c>
      <c r="U66">
        <v>43.119</v>
      </c>
      <c r="V66">
        <v>16.283000000000001</v>
      </c>
      <c r="W66">
        <v>3.7410000000000001</v>
      </c>
      <c r="X66">
        <v>0.44400000000000001</v>
      </c>
      <c r="Y66">
        <v>2.8000000000000001E-2</v>
      </c>
    </row>
    <row r="67" spans="3:25" x14ac:dyDescent="0.25">
      <c r="C67" t="s">
        <v>259</v>
      </c>
      <c r="D67">
        <v>414</v>
      </c>
      <c r="E67">
        <v>289.68900000000002</v>
      </c>
      <c r="F67">
        <v>318.637</v>
      </c>
      <c r="G67">
        <v>308.23</v>
      </c>
      <c r="H67">
        <v>224.99600000000001</v>
      </c>
      <c r="I67">
        <v>207.09399999999999</v>
      </c>
      <c r="J67">
        <v>237.78800000000001</v>
      </c>
      <c r="K67">
        <v>366.39699999999999</v>
      </c>
      <c r="L67">
        <v>512.15899999999999</v>
      </c>
      <c r="M67">
        <v>514.76199999999994</v>
      </c>
      <c r="N67">
        <v>450.60700000000003</v>
      </c>
      <c r="O67">
        <v>347.20100000000002</v>
      </c>
      <c r="P67">
        <v>214.09800000000001</v>
      </c>
      <c r="Q67">
        <v>149.26300000000001</v>
      </c>
      <c r="R67">
        <v>71</v>
      </c>
      <c r="S67">
        <v>32.152000000000001</v>
      </c>
      <c r="T67">
        <v>16.398</v>
      </c>
      <c r="U67">
        <v>7.9409999999999998</v>
      </c>
      <c r="V67">
        <v>1.992</v>
      </c>
      <c r="W67">
        <v>0.14299999999999999</v>
      </c>
      <c r="X67">
        <v>1.6E-2</v>
      </c>
      <c r="Y67">
        <v>0</v>
      </c>
    </row>
    <row r="68" spans="3:25" x14ac:dyDescent="0.25">
      <c r="C68" t="s">
        <v>262</v>
      </c>
      <c r="D68">
        <v>422</v>
      </c>
      <c r="E68">
        <v>566.12699999999995</v>
      </c>
      <c r="F68">
        <v>586.03</v>
      </c>
      <c r="G68">
        <v>558.89599999999996</v>
      </c>
      <c r="H68">
        <v>576.101</v>
      </c>
      <c r="I68">
        <v>593.17200000000003</v>
      </c>
      <c r="J68">
        <v>583.40200000000004</v>
      </c>
      <c r="K68">
        <v>522.01900000000001</v>
      </c>
      <c r="L68">
        <v>487.62700000000001</v>
      </c>
      <c r="M68">
        <v>453.01799999999997</v>
      </c>
      <c r="N68">
        <v>409.72500000000002</v>
      </c>
      <c r="O68">
        <v>390.37299999999999</v>
      </c>
      <c r="P68">
        <v>334.40499999999997</v>
      </c>
      <c r="Q68">
        <v>249.291</v>
      </c>
      <c r="R68">
        <v>198.476</v>
      </c>
      <c r="S68">
        <v>131.48099999999999</v>
      </c>
      <c r="T68">
        <v>80.091999999999999</v>
      </c>
      <c r="U68">
        <v>62.774000000000001</v>
      </c>
      <c r="V68">
        <v>32.67</v>
      </c>
      <c r="W68">
        <v>8.1880000000000006</v>
      </c>
      <c r="X68">
        <v>1.425</v>
      </c>
      <c r="Y68">
        <v>0.15</v>
      </c>
    </row>
    <row r="69" spans="3:25" x14ac:dyDescent="0.25">
      <c r="C69" t="s">
        <v>285</v>
      </c>
      <c r="D69">
        <v>512</v>
      </c>
      <c r="E69">
        <v>453.666</v>
      </c>
      <c r="F69">
        <v>378.90699999999998</v>
      </c>
      <c r="G69">
        <v>315.75099999999998</v>
      </c>
      <c r="H69">
        <v>214.553</v>
      </c>
      <c r="I69">
        <v>329.05700000000002</v>
      </c>
      <c r="J69">
        <v>756.48599999999999</v>
      </c>
      <c r="K69">
        <v>868.01300000000003</v>
      </c>
      <c r="L69">
        <v>571.80700000000002</v>
      </c>
      <c r="M69">
        <v>400.32600000000002</v>
      </c>
      <c r="N69">
        <v>284.64299999999997</v>
      </c>
      <c r="O69">
        <v>181.71700000000001</v>
      </c>
      <c r="P69">
        <v>133.88300000000001</v>
      </c>
      <c r="Q69">
        <v>89.584000000000003</v>
      </c>
      <c r="R69">
        <v>53.203000000000003</v>
      </c>
      <c r="S69">
        <v>28.263000000000002</v>
      </c>
      <c r="T69">
        <v>24.795000000000002</v>
      </c>
      <c r="U69">
        <v>12.881</v>
      </c>
      <c r="V69">
        <v>5.6390000000000002</v>
      </c>
      <c r="W69">
        <v>2.4590000000000001</v>
      </c>
      <c r="X69">
        <v>0.77400000000000002</v>
      </c>
      <c r="Y69">
        <v>0.215</v>
      </c>
    </row>
    <row r="70" spans="3:25" x14ac:dyDescent="0.25">
      <c r="C70" t="s">
        <v>293</v>
      </c>
      <c r="D70">
        <v>634</v>
      </c>
      <c r="E70">
        <v>135.16200000000001</v>
      </c>
      <c r="F70">
        <v>135.374</v>
      </c>
      <c r="G70">
        <v>122.41800000000001</v>
      </c>
      <c r="H70">
        <v>105.982</v>
      </c>
      <c r="I70">
        <v>237.44300000000001</v>
      </c>
      <c r="J70">
        <v>479.928</v>
      </c>
      <c r="K70">
        <v>495.15199999999999</v>
      </c>
      <c r="L70">
        <v>351.02800000000002</v>
      </c>
      <c r="M70">
        <v>254.99799999999999</v>
      </c>
      <c r="N70">
        <v>206.80199999999999</v>
      </c>
      <c r="O70">
        <v>155.60400000000001</v>
      </c>
      <c r="P70">
        <v>98.557000000000002</v>
      </c>
      <c r="Q70">
        <v>53.948999999999998</v>
      </c>
      <c r="R70">
        <v>27.847000000000001</v>
      </c>
      <c r="S70">
        <v>12.864000000000001</v>
      </c>
      <c r="T70">
        <v>3.8610000000000002</v>
      </c>
      <c r="U70">
        <v>2.294</v>
      </c>
      <c r="V70">
        <v>1.05</v>
      </c>
      <c r="W70">
        <v>0.51600000000000001</v>
      </c>
      <c r="X70">
        <v>0.14199999999999999</v>
      </c>
      <c r="Y70">
        <v>8.8999999999999996E-2</v>
      </c>
    </row>
    <row r="71" spans="3:25" x14ac:dyDescent="0.25">
      <c r="C71" t="s">
        <v>300</v>
      </c>
      <c r="D71">
        <v>682</v>
      </c>
      <c r="E71">
        <v>2978.337</v>
      </c>
      <c r="F71">
        <v>2977.8789999999999</v>
      </c>
      <c r="G71">
        <v>2641.4989999999998</v>
      </c>
      <c r="H71">
        <v>2218.7820000000002</v>
      </c>
      <c r="I71">
        <v>2333.1309999999999</v>
      </c>
      <c r="J71">
        <v>3021.6289999999999</v>
      </c>
      <c r="K71">
        <v>3437.9369999999999</v>
      </c>
      <c r="L71">
        <v>3542.4259999999999</v>
      </c>
      <c r="M71">
        <v>3577.5630000000001</v>
      </c>
      <c r="N71">
        <v>2831.2260000000001</v>
      </c>
      <c r="O71">
        <v>1891.7460000000001</v>
      </c>
      <c r="P71">
        <v>1324.826</v>
      </c>
      <c r="Q71">
        <v>818.93700000000001</v>
      </c>
      <c r="R71">
        <v>554.58399999999995</v>
      </c>
      <c r="S71">
        <v>293.041</v>
      </c>
      <c r="T71">
        <v>200.815</v>
      </c>
      <c r="U71">
        <v>106.173</v>
      </c>
      <c r="V71">
        <v>45.012999999999998</v>
      </c>
      <c r="W71">
        <v>14.923999999999999</v>
      </c>
      <c r="X71">
        <v>3.0880000000000001</v>
      </c>
      <c r="Y71">
        <v>0.311</v>
      </c>
    </row>
    <row r="72" spans="3:25" x14ac:dyDescent="0.25">
      <c r="C72" t="s">
        <v>381</v>
      </c>
      <c r="D72">
        <v>275</v>
      </c>
      <c r="E72">
        <v>692.91300000000001</v>
      </c>
      <c r="F72">
        <v>671.61500000000001</v>
      </c>
      <c r="G72">
        <v>592.43299999999999</v>
      </c>
      <c r="H72">
        <v>517.05999999999995</v>
      </c>
      <c r="I72">
        <v>498.642</v>
      </c>
      <c r="J72">
        <v>467.08300000000003</v>
      </c>
      <c r="K72">
        <v>369.81799999999998</v>
      </c>
      <c r="L72">
        <v>294.47800000000001</v>
      </c>
      <c r="M72">
        <v>247.14099999999999</v>
      </c>
      <c r="N72">
        <v>200.999</v>
      </c>
      <c r="O72">
        <v>166.83099999999999</v>
      </c>
      <c r="P72">
        <v>130.48699999999999</v>
      </c>
      <c r="Q72">
        <v>87.852000000000004</v>
      </c>
      <c r="R72">
        <v>64.001000000000005</v>
      </c>
      <c r="S72">
        <v>48.34</v>
      </c>
      <c r="T72">
        <v>29.495000000000001</v>
      </c>
      <c r="U72">
        <v>15.43</v>
      </c>
      <c r="V72">
        <v>5.3959999999999999</v>
      </c>
      <c r="W72">
        <v>1.216</v>
      </c>
      <c r="X72">
        <v>0.17399999999999999</v>
      </c>
      <c r="Y72">
        <v>1.2E-2</v>
      </c>
    </row>
    <row r="73" spans="3:25" x14ac:dyDescent="0.25">
      <c r="C73" t="s">
        <v>315</v>
      </c>
      <c r="D73">
        <v>760</v>
      </c>
      <c r="E73">
        <v>1919.096</v>
      </c>
      <c r="F73">
        <v>1716.807</v>
      </c>
      <c r="G73">
        <v>1749.8630000000001</v>
      </c>
      <c r="H73">
        <v>1575.2619999999999</v>
      </c>
      <c r="I73">
        <v>1603.5</v>
      </c>
      <c r="J73">
        <v>1496.4829999999999</v>
      </c>
      <c r="K73">
        <v>1520.848</v>
      </c>
      <c r="L73">
        <v>1386.345</v>
      </c>
      <c r="M73">
        <v>1095.0360000000001</v>
      </c>
      <c r="N73">
        <v>833.86500000000001</v>
      </c>
      <c r="O73">
        <v>689.43799999999999</v>
      </c>
      <c r="P73">
        <v>595.90800000000002</v>
      </c>
      <c r="Q73">
        <v>465.14600000000002</v>
      </c>
      <c r="R73">
        <v>357.21899999999999</v>
      </c>
      <c r="S73">
        <v>209.32</v>
      </c>
      <c r="T73">
        <v>146.227</v>
      </c>
      <c r="U73">
        <v>84.923000000000002</v>
      </c>
      <c r="V73">
        <v>41.886000000000003</v>
      </c>
      <c r="W73">
        <v>11.541</v>
      </c>
      <c r="X73">
        <v>1.78</v>
      </c>
      <c r="Y73">
        <v>0.16400000000000001</v>
      </c>
    </row>
    <row r="74" spans="3:25" x14ac:dyDescent="0.25">
      <c r="C74" t="s">
        <v>321</v>
      </c>
      <c r="D74">
        <v>792</v>
      </c>
      <c r="E74">
        <v>6567.1480000000001</v>
      </c>
      <c r="F74">
        <v>6852.1220000000003</v>
      </c>
      <c r="G74">
        <v>6773.2380000000003</v>
      </c>
      <c r="H74">
        <v>6821.9110000000001</v>
      </c>
      <c r="I74">
        <v>6770.0190000000002</v>
      </c>
      <c r="J74">
        <v>6404.1440000000002</v>
      </c>
      <c r="K74">
        <v>6394.98</v>
      </c>
      <c r="L74">
        <v>6379.7510000000002</v>
      </c>
      <c r="M74">
        <v>6008.0739999999996</v>
      </c>
      <c r="N74">
        <v>5438.5050000000001</v>
      </c>
      <c r="O74">
        <v>4755.4679999999998</v>
      </c>
      <c r="P74">
        <v>4152.9549999999999</v>
      </c>
      <c r="Q74">
        <v>3446.2</v>
      </c>
      <c r="R74">
        <v>2746.192</v>
      </c>
      <c r="S74">
        <v>1970.4960000000001</v>
      </c>
      <c r="T74">
        <v>1383.0830000000001</v>
      </c>
      <c r="U74">
        <v>877.36300000000006</v>
      </c>
      <c r="V74">
        <v>453.346</v>
      </c>
      <c r="W74">
        <v>124.98399999999999</v>
      </c>
      <c r="X74">
        <v>17.811</v>
      </c>
      <c r="Y74">
        <v>1.2769999999999999</v>
      </c>
    </row>
    <row r="75" spans="3:25" x14ac:dyDescent="0.25">
      <c r="C75" t="s">
        <v>324</v>
      </c>
      <c r="D75">
        <v>784</v>
      </c>
      <c r="E75">
        <v>499.13799999999998</v>
      </c>
      <c r="F75">
        <v>512.57500000000005</v>
      </c>
      <c r="G75">
        <v>453.459</v>
      </c>
      <c r="H75">
        <v>389.53199999999998</v>
      </c>
      <c r="I75">
        <v>715.75300000000004</v>
      </c>
      <c r="J75">
        <v>1433.59</v>
      </c>
      <c r="K75">
        <v>1795.7460000000001</v>
      </c>
      <c r="L75">
        <v>1373.568</v>
      </c>
      <c r="M75">
        <v>916.02099999999996</v>
      </c>
      <c r="N75">
        <v>692.08799999999997</v>
      </c>
      <c r="O75">
        <v>456.601</v>
      </c>
      <c r="P75">
        <v>341.31200000000001</v>
      </c>
      <c r="Q75">
        <v>185.96600000000001</v>
      </c>
      <c r="R75">
        <v>56.741</v>
      </c>
      <c r="S75">
        <v>36.26</v>
      </c>
      <c r="T75">
        <v>19.623999999999999</v>
      </c>
      <c r="U75">
        <v>7.1589999999999998</v>
      </c>
      <c r="V75">
        <v>4.008</v>
      </c>
      <c r="W75">
        <v>0.95599999999999996</v>
      </c>
      <c r="X75">
        <v>0.27200000000000002</v>
      </c>
      <c r="Y75">
        <v>3.1E-2</v>
      </c>
    </row>
    <row r="76" spans="3:25" x14ac:dyDescent="0.25">
      <c r="C76" t="s">
        <v>331</v>
      </c>
      <c r="D76">
        <v>887</v>
      </c>
      <c r="E76">
        <v>4115.3059999999996</v>
      </c>
      <c r="F76">
        <v>3918.1019999999999</v>
      </c>
      <c r="G76">
        <v>3548.681</v>
      </c>
      <c r="H76">
        <v>3201.5929999999998</v>
      </c>
      <c r="I76">
        <v>2925.2460000000001</v>
      </c>
      <c r="J76">
        <v>2807.5</v>
      </c>
      <c r="K76">
        <v>2329.3159999999998</v>
      </c>
      <c r="L76">
        <v>1811.1220000000001</v>
      </c>
      <c r="M76">
        <v>1362.0909999999999</v>
      </c>
      <c r="N76">
        <v>1000.713</v>
      </c>
      <c r="O76">
        <v>773.31299999999999</v>
      </c>
      <c r="P76">
        <v>649.52200000000005</v>
      </c>
      <c r="Q76">
        <v>509.267</v>
      </c>
      <c r="R76">
        <v>370.18299999999999</v>
      </c>
      <c r="S76">
        <v>258.97800000000001</v>
      </c>
      <c r="T76">
        <v>144.49299999999999</v>
      </c>
      <c r="U76">
        <v>69.141000000000005</v>
      </c>
      <c r="V76">
        <v>24.422999999999998</v>
      </c>
      <c r="W76">
        <v>5.9889999999999999</v>
      </c>
      <c r="X76">
        <v>0.91100000000000003</v>
      </c>
      <c r="Y76">
        <v>7.8E-2</v>
      </c>
    </row>
    <row r="77" spans="3:25" x14ac:dyDescent="0.25">
      <c r="C77" t="s">
        <v>256</v>
      </c>
      <c r="D77">
        <v>398</v>
      </c>
      <c r="E77">
        <v>1920.184</v>
      </c>
      <c r="F77">
        <v>1947.826</v>
      </c>
      <c r="G77">
        <v>1604.307</v>
      </c>
      <c r="H77">
        <v>1116.616</v>
      </c>
      <c r="I77">
        <v>1100.046</v>
      </c>
      <c r="J77">
        <v>1473.146</v>
      </c>
      <c r="K77">
        <v>1657.57</v>
      </c>
      <c r="L77">
        <v>1335.925</v>
      </c>
      <c r="M77">
        <v>1183.701</v>
      </c>
      <c r="N77">
        <v>1102.72</v>
      </c>
      <c r="O77">
        <v>977.68</v>
      </c>
      <c r="P77">
        <v>1061.761</v>
      </c>
      <c r="Q77">
        <v>811.33799999999997</v>
      </c>
      <c r="R77">
        <v>627.57100000000003</v>
      </c>
      <c r="S77">
        <v>319.98200000000003</v>
      </c>
      <c r="T77">
        <v>232.523</v>
      </c>
      <c r="U77">
        <v>215.62299999999999</v>
      </c>
      <c r="V77">
        <v>62.110999999999997</v>
      </c>
      <c r="W77">
        <v>22.783999999999999</v>
      </c>
      <c r="X77">
        <v>3.069</v>
      </c>
      <c r="Y77">
        <v>0.224</v>
      </c>
    </row>
    <row r="78" spans="3:25" x14ac:dyDescent="0.25">
      <c r="C78" t="s">
        <v>260</v>
      </c>
      <c r="D78">
        <v>417</v>
      </c>
      <c r="E78">
        <v>760.255</v>
      </c>
      <c r="F78">
        <v>769.19500000000005</v>
      </c>
      <c r="G78">
        <v>600.62599999999998</v>
      </c>
      <c r="H78">
        <v>500.07499999999999</v>
      </c>
      <c r="I78">
        <v>514.38900000000001</v>
      </c>
      <c r="J78">
        <v>568.55100000000004</v>
      </c>
      <c r="K78">
        <v>572.18700000000001</v>
      </c>
      <c r="L78">
        <v>442.51799999999997</v>
      </c>
      <c r="M78">
        <v>361.459</v>
      </c>
      <c r="N78">
        <v>324.976</v>
      </c>
      <c r="O78">
        <v>295.97300000000001</v>
      </c>
      <c r="P78">
        <v>285.46199999999999</v>
      </c>
      <c r="Q78">
        <v>220.06899999999999</v>
      </c>
      <c r="R78">
        <v>143.755</v>
      </c>
      <c r="S78">
        <v>78.619</v>
      </c>
      <c r="T78">
        <v>32.594999999999999</v>
      </c>
      <c r="U78">
        <v>32.506999999999998</v>
      </c>
      <c r="V78">
        <v>15.592000000000001</v>
      </c>
      <c r="W78">
        <v>4.4349999999999996</v>
      </c>
      <c r="X78">
        <v>0.89700000000000002</v>
      </c>
      <c r="Y78">
        <v>5.6000000000000001E-2</v>
      </c>
    </row>
    <row r="79" spans="3:25" x14ac:dyDescent="0.25">
      <c r="C79" t="s">
        <v>316</v>
      </c>
      <c r="D79">
        <v>762</v>
      </c>
      <c r="E79">
        <v>1356.75</v>
      </c>
      <c r="F79">
        <v>1220.8599999999999</v>
      </c>
      <c r="G79">
        <v>977.07799999999997</v>
      </c>
      <c r="H79">
        <v>811.28899999999999</v>
      </c>
      <c r="I79">
        <v>833.803</v>
      </c>
      <c r="J79">
        <v>814.71900000000005</v>
      </c>
      <c r="K79">
        <v>786.16499999999996</v>
      </c>
      <c r="L79">
        <v>604.16600000000005</v>
      </c>
      <c r="M79">
        <v>472.63299999999998</v>
      </c>
      <c r="N79">
        <v>409.76600000000002</v>
      </c>
      <c r="O79">
        <v>372.286</v>
      </c>
      <c r="P79">
        <v>328.60399999999998</v>
      </c>
      <c r="Q79">
        <v>246.25</v>
      </c>
      <c r="R79">
        <v>141.63999999999999</v>
      </c>
      <c r="S79">
        <v>77.992000000000004</v>
      </c>
      <c r="T79">
        <v>39.613999999999997</v>
      </c>
      <c r="U79">
        <v>29.792999999999999</v>
      </c>
      <c r="V79">
        <v>10.476000000000001</v>
      </c>
      <c r="W79">
        <v>3.39</v>
      </c>
      <c r="X79">
        <v>0.35099999999999998</v>
      </c>
      <c r="Y79">
        <v>1.7000000000000001E-2</v>
      </c>
    </row>
    <row r="80" spans="3:25" x14ac:dyDescent="0.25">
      <c r="C80" t="s">
        <v>382</v>
      </c>
      <c r="D80">
        <v>795</v>
      </c>
      <c r="E80">
        <v>661.06500000000005</v>
      </c>
      <c r="F80">
        <v>671.86500000000001</v>
      </c>
      <c r="G80">
        <v>524.18299999999999</v>
      </c>
      <c r="H80">
        <v>484.56</v>
      </c>
      <c r="I80">
        <v>461.53699999999998</v>
      </c>
      <c r="J80">
        <v>548.25400000000002</v>
      </c>
      <c r="K80">
        <v>525.197</v>
      </c>
      <c r="L80">
        <v>432.68799999999999</v>
      </c>
      <c r="M80">
        <v>378.45499999999998</v>
      </c>
      <c r="N80">
        <v>319.36599999999999</v>
      </c>
      <c r="O80">
        <v>283.59699999999998</v>
      </c>
      <c r="P80">
        <v>251.86199999999999</v>
      </c>
      <c r="Q80">
        <v>200.994</v>
      </c>
      <c r="R80">
        <v>133.44999999999999</v>
      </c>
      <c r="S80">
        <v>68.644000000000005</v>
      </c>
      <c r="T80">
        <v>34.814</v>
      </c>
      <c r="U80">
        <v>32.508000000000003</v>
      </c>
      <c r="V80">
        <v>12.789</v>
      </c>
      <c r="W80">
        <v>4.5819999999999999</v>
      </c>
      <c r="X80">
        <v>0.70499999999999996</v>
      </c>
      <c r="Y80">
        <v>7.1999999999999995E-2</v>
      </c>
    </row>
    <row r="81" spans="3:25" x14ac:dyDescent="0.25">
      <c r="C81" t="s">
        <v>328</v>
      </c>
      <c r="D81">
        <v>860</v>
      </c>
      <c r="E81">
        <v>3431.6370000000002</v>
      </c>
      <c r="F81">
        <v>3282.087</v>
      </c>
      <c r="G81">
        <v>2925.422</v>
      </c>
      <c r="H81">
        <v>2535.4319999999998</v>
      </c>
      <c r="I81">
        <v>2782.3359999999998</v>
      </c>
      <c r="J81">
        <v>3164.6509999999998</v>
      </c>
      <c r="K81">
        <v>3030.3969999999999</v>
      </c>
      <c r="L81">
        <v>2546.7979999999998</v>
      </c>
      <c r="M81">
        <v>2105.4</v>
      </c>
      <c r="N81">
        <v>1825.1</v>
      </c>
      <c r="O81">
        <v>1568.6420000000001</v>
      </c>
      <c r="P81">
        <v>1500.1189999999999</v>
      </c>
      <c r="Q81">
        <v>1168.385</v>
      </c>
      <c r="R81">
        <v>771.24300000000005</v>
      </c>
      <c r="S81">
        <v>343.94600000000003</v>
      </c>
      <c r="T81">
        <v>228.20400000000001</v>
      </c>
      <c r="U81">
        <v>163.80199999999999</v>
      </c>
      <c r="V81">
        <v>67.757000000000005</v>
      </c>
      <c r="W81">
        <v>23.65</v>
      </c>
      <c r="X81">
        <v>3.7120000000000002</v>
      </c>
      <c r="Y81">
        <v>0.47899999999999998</v>
      </c>
    </row>
    <row r="82" spans="3:25" x14ac:dyDescent="0.25">
      <c r="C82" t="s">
        <v>383</v>
      </c>
      <c r="D82">
        <v>4</v>
      </c>
      <c r="E82">
        <v>5672.509</v>
      </c>
      <c r="F82">
        <v>5416.223</v>
      </c>
      <c r="G82">
        <v>5192.1139999999996</v>
      </c>
      <c r="H82">
        <v>4629.4449999999997</v>
      </c>
      <c r="I82">
        <v>3926.4850000000001</v>
      </c>
      <c r="J82">
        <v>3109.386</v>
      </c>
      <c r="K82">
        <v>2478.259</v>
      </c>
      <c r="L82">
        <v>2056.3870000000002</v>
      </c>
      <c r="M82">
        <v>1658.723</v>
      </c>
      <c r="N82">
        <v>1304.7360000000001</v>
      </c>
      <c r="O82">
        <v>1032.3589999999999</v>
      </c>
      <c r="P82">
        <v>807.83900000000006</v>
      </c>
      <c r="Q82">
        <v>612.63800000000003</v>
      </c>
      <c r="R82">
        <v>444.858</v>
      </c>
      <c r="S82">
        <v>312.45100000000002</v>
      </c>
      <c r="T82">
        <v>168.00399999999999</v>
      </c>
      <c r="U82">
        <v>75.605000000000004</v>
      </c>
      <c r="V82">
        <v>24.46</v>
      </c>
      <c r="W82">
        <v>5.1920000000000002</v>
      </c>
      <c r="X82">
        <v>0.629</v>
      </c>
      <c r="Y82">
        <v>3.9E-2</v>
      </c>
    </row>
    <row r="83" spans="3:25" x14ac:dyDescent="0.25">
      <c r="C83" t="s">
        <v>202</v>
      </c>
      <c r="D83">
        <v>50</v>
      </c>
      <c r="E83">
        <v>14328.179</v>
      </c>
      <c r="F83">
        <v>14644.431</v>
      </c>
      <c r="G83">
        <v>15089.278</v>
      </c>
      <c r="H83">
        <v>15585.144</v>
      </c>
      <c r="I83">
        <v>15239.226000000001</v>
      </c>
      <c r="J83">
        <v>14525.807000000001</v>
      </c>
      <c r="K83">
        <v>13763.089</v>
      </c>
      <c r="L83">
        <v>12748.544</v>
      </c>
      <c r="M83">
        <v>11225.285</v>
      </c>
      <c r="N83">
        <v>9425.9850000000006</v>
      </c>
      <c r="O83">
        <v>8304.7950000000001</v>
      </c>
      <c r="P83">
        <v>6700.9080000000004</v>
      </c>
      <c r="Q83">
        <v>4500.3890000000001</v>
      </c>
      <c r="R83">
        <v>2796.4479999999999</v>
      </c>
      <c r="S83">
        <v>2357.1590000000001</v>
      </c>
      <c r="T83">
        <v>1738.653</v>
      </c>
      <c r="U83">
        <v>1021.347</v>
      </c>
      <c r="V83">
        <v>483.03100000000001</v>
      </c>
      <c r="W83">
        <v>167.12799999999999</v>
      </c>
      <c r="X83">
        <v>38.816000000000003</v>
      </c>
      <c r="Y83">
        <v>5.7409999999999997</v>
      </c>
    </row>
    <row r="84" spans="3:25" x14ac:dyDescent="0.25">
      <c r="C84" t="s">
        <v>207</v>
      </c>
      <c r="D84">
        <v>64</v>
      </c>
      <c r="E84">
        <v>63.854999999999997</v>
      </c>
      <c r="F84">
        <v>61.972999999999999</v>
      </c>
      <c r="G84">
        <v>66.263000000000005</v>
      </c>
      <c r="H84">
        <v>69.73</v>
      </c>
      <c r="I84">
        <v>74.308000000000007</v>
      </c>
      <c r="J84">
        <v>79.006</v>
      </c>
      <c r="K84">
        <v>75.718000000000004</v>
      </c>
      <c r="L84">
        <v>62.963000000000001</v>
      </c>
      <c r="M84">
        <v>50.274999999999999</v>
      </c>
      <c r="N84">
        <v>39.329000000000001</v>
      </c>
      <c r="O84">
        <v>33.389000000000003</v>
      </c>
      <c r="P84">
        <v>25.625</v>
      </c>
      <c r="Q84">
        <v>21.303000000000001</v>
      </c>
      <c r="R84">
        <v>15.605</v>
      </c>
      <c r="S84">
        <v>12.754</v>
      </c>
      <c r="T84">
        <v>9.48</v>
      </c>
      <c r="U84">
        <v>5.681</v>
      </c>
      <c r="V84">
        <v>2.8559999999999999</v>
      </c>
      <c r="W84">
        <v>1.1160000000000001</v>
      </c>
      <c r="X84">
        <v>0.317</v>
      </c>
      <c r="Y84">
        <v>6.6000000000000003E-2</v>
      </c>
    </row>
    <row r="85" spans="3:25" x14ac:dyDescent="0.25">
      <c r="C85" t="s">
        <v>246</v>
      </c>
      <c r="D85">
        <v>356</v>
      </c>
      <c r="E85">
        <v>116879.507</v>
      </c>
      <c r="F85">
        <v>117982.12699999999</v>
      </c>
      <c r="G85">
        <v>126155.952</v>
      </c>
      <c r="H85">
        <v>126045.56600000001</v>
      </c>
      <c r="I85">
        <v>122504.804</v>
      </c>
      <c r="J85">
        <v>117397.269</v>
      </c>
      <c r="K85">
        <v>112176.098</v>
      </c>
      <c r="L85">
        <v>103460.178</v>
      </c>
      <c r="M85">
        <v>90219.894</v>
      </c>
      <c r="N85">
        <v>79440.28</v>
      </c>
      <c r="O85">
        <v>68875.962</v>
      </c>
      <c r="P85">
        <v>59256.267999999996</v>
      </c>
      <c r="Q85">
        <v>48890.527999999998</v>
      </c>
      <c r="R85">
        <v>38260.283000000003</v>
      </c>
      <c r="S85">
        <v>24091.442999999999</v>
      </c>
      <c r="T85">
        <v>15083.955</v>
      </c>
      <c r="U85">
        <v>8489.0110000000004</v>
      </c>
      <c r="V85">
        <v>3531.1390000000001</v>
      </c>
      <c r="W85">
        <v>992.98500000000001</v>
      </c>
      <c r="X85">
        <v>223.197</v>
      </c>
      <c r="Y85">
        <v>47.939</v>
      </c>
    </row>
    <row r="86" spans="3:25" x14ac:dyDescent="0.25">
      <c r="C86" t="s">
        <v>248</v>
      </c>
      <c r="D86">
        <v>364</v>
      </c>
      <c r="E86">
        <v>7637.5590000000002</v>
      </c>
      <c r="F86">
        <v>6928.2969999999996</v>
      </c>
      <c r="G86">
        <v>6217.9449999999997</v>
      </c>
      <c r="H86">
        <v>5529.9830000000002</v>
      </c>
      <c r="I86">
        <v>5556.2280000000001</v>
      </c>
      <c r="J86">
        <v>6786.6790000000001</v>
      </c>
      <c r="K86">
        <v>8466.7019999999993</v>
      </c>
      <c r="L86">
        <v>8272.7440000000006</v>
      </c>
      <c r="M86">
        <v>6491.3209999999999</v>
      </c>
      <c r="N86">
        <v>5164.2950000000001</v>
      </c>
      <c r="O86">
        <v>4618.4790000000003</v>
      </c>
      <c r="P86">
        <v>3676.8519999999999</v>
      </c>
      <c r="Q86">
        <v>3132.2739999999999</v>
      </c>
      <c r="R86">
        <v>2264.6309999999999</v>
      </c>
      <c r="S86">
        <v>1448.001</v>
      </c>
      <c r="T86">
        <v>906.60599999999999</v>
      </c>
      <c r="U86">
        <v>551.61199999999997</v>
      </c>
      <c r="V86">
        <v>277.48099999999999</v>
      </c>
      <c r="W86">
        <v>56.676000000000002</v>
      </c>
      <c r="X86">
        <v>8.07</v>
      </c>
      <c r="Y86">
        <v>0.51800000000000002</v>
      </c>
    </row>
    <row r="87" spans="3:25" x14ac:dyDescent="0.25">
      <c r="C87" t="s">
        <v>268</v>
      </c>
      <c r="D87">
        <v>462</v>
      </c>
      <c r="E87">
        <v>35.579000000000001</v>
      </c>
      <c r="F87">
        <v>37.241999999999997</v>
      </c>
      <c r="G87">
        <v>33.125</v>
      </c>
      <c r="H87">
        <v>26.312999999999999</v>
      </c>
      <c r="I87">
        <v>51.052999999999997</v>
      </c>
      <c r="J87">
        <v>88.631</v>
      </c>
      <c r="K87">
        <v>82.881</v>
      </c>
      <c r="L87">
        <v>54.725999999999999</v>
      </c>
      <c r="M87">
        <v>36.768000000000001</v>
      </c>
      <c r="N87">
        <v>27.881</v>
      </c>
      <c r="O87">
        <v>20.03</v>
      </c>
      <c r="P87">
        <v>15.286</v>
      </c>
      <c r="Q87">
        <v>11.606999999999999</v>
      </c>
      <c r="R87">
        <v>6.5570000000000004</v>
      </c>
      <c r="S87">
        <v>4.3810000000000002</v>
      </c>
      <c r="T87">
        <v>4.085</v>
      </c>
      <c r="U87">
        <v>2.754</v>
      </c>
      <c r="V87">
        <v>1.2170000000000001</v>
      </c>
      <c r="W87">
        <v>0.34100000000000003</v>
      </c>
      <c r="X87">
        <v>7.3999999999999996E-2</v>
      </c>
      <c r="Y87">
        <v>1.0999999999999999E-2</v>
      </c>
    </row>
    <row r="88" spans="3:25" x14ac:dyDescent="0.25">
      <c r="C88" t="s">
        <v>279</v>
      </c>
      <c r="D88">
        <v>524</v>
      </c>
      <c r="E88">
        <v>2706.7730000000001</v>
      </c>
      <c r="F88">
        <v>2756.21</v>
      </c>
      <c r="G88">
        <v>2931.2489999999998</v>
      </c>
      <c r="H88">
        <v>3188.8809999999999</v>
      </c>
      <c r="I88">
        <v>3221.5239999999999</v>
      </c>
      <c r="J88">
        <v>2664.85</v>
      </c>
      <c r="K88">
        <v>2069.2620000000002</v>
      </c>
      <c r="L88">
        <v>1723.48</v>
      </c>
      <c r="M88">
        <v>1597.0260000000001</v>
      </c>
      <c r="N88">
        <v>1448.627</v>
      </c>
      <c r="O88">
        <v>1263.3910000000001</v>
      </c>
      <c r="P88">
        <v>1044.309</v>
      </c>
      <c r="Q88">
        <v>823.09100000000001</v>
      </c>
      <c r="R88">
        <v>664.98699999999997</v>
      </c>
      <c r="S88">
        <v>473.733</v>
      </c>
      <c r="T88">
        <v>337.80200000000002</v>
      </c>
      <c r="U88">
        <v>152.51400000000001</v>
      </c>
      <c r="V88">
        <v>54.15</v>
      </c>
      <c r="W88">
        <v>13.263</v>
      </c>
      <c r="X88">
        <v>1.5880000000000001</v>
      </c>
      <c r="Y88">
        <v>9.8000000000000004E-2</v>
      </c>
    </row>
    <row r="89" spans="3:25" x14ac:dyDescent="0.25">
      <c r="C89" t="s">
        <v>286</v>
      </c>
      <c r="D89">
        <v>586</v>
      </c>
      <c r="E89">
        <v>27962.851999999999</v>
      </c>
      <c r="F89">
        <v>25499.38</v>
      </c>
      <c r="G89">
        <v>23451.518</v>
      </c>
      <c r="H89">
        <v>21975.918000000001</v>
      </c>
      <c r="I89">
        <v>20772.274000000001</v>
      </c>
      <c r="J89">
        <v>19158.088</v>
      </c>
      <c r="K89">
        <v>16818.327000000001</v>
      </c>
      <c r="L89">
        <v>13997.696</v>
      </c>
      <c r="M89">
        <v>11615.522000000001</v>
      </c>
      <c r="N89">
        <v>9633.2250000000004</v>
      </c>
      <c r="O89">
        <v>8230.7129999999997</v>
      </c>
      <c r="P89">
        <v>6891.9</v>
      </c>
      <c r="Q89">
        <v>5279.09</v>
      </c>
      <c r="R89">
        <v>3623.3240000000001</v>
      </c>
      <c r="S89">
        <v>2705.7440000000001</v>
      </c>
      <c r="T89">
        <v>1853.1849999999999</v>
      </c>
      <c r="U89">
        <v>961.86300000000006</v>
      </c>
      <c r="V89">
        <v>364.84899999999999</v>
      </c>
      <c r="W89">
        <v>85.302999999999997</v>
      </c>
      <c r="X89">
        <v>10.72</v>
      </c>
      <c r="Y89">
        <v>0.84</v>
      </c>
    </row>
    <row r="90" spans="3:25" x14ac:dyDescent="0.25">
      <c r="C90" t="s">
        <v>311</v>
      </c>
      <c r="D90">
        <v>144</v>
      </c>
      <c r="E90">
        <v>1660.41</v>
      </c>
      <c r="F90">
        <v>1689.625</v>
      </c>
      <c r="G90">
        <v>1721.6610000000001</v>
      </c>
      <c r="H90">
        <v>1664.559</v>
      </c>
      <c r="I90">
        <v>1495.6510000000001</v>
      </c>
      <c r="J90">
        <v>1406.2059999999999</v>
      </c>
      <c r="K90">
        <v>1352.386</v>
      </c>
      <c r="L90">
        <v>1467.635</v>
      </c>
      <c r="M90">
        <v>1524.4349999999999</v>
      </c>
      <c r="N90">
        <v>1356.67</v>
      </c>
      <c r="O90">
        <v>1317.2760000000001</v>
      </c>
      <c r="P90">
        <v>1237.5419999999999</v>
      </c>
      <c r="Q90">
        <v>1113.8720000000001</v>
      </c>
      <c r="R90">
        <v>899.32399999999996</v>
      </c>
      <c r="S90">
        <v>727.43100000000004</v>
      </c>
      <c r="T90">
        <v>418.90600000000001</v>
      </c>
      <c r="U90">
        <v>208.11</v>
      </c>
      <c r="V90">
        <v>106.461</v>
      </c>
      <c r="W90">
        <v>37.893000000000001</v>
      </c>
      <c r="X90">
        <v>6.6219999999999999</v>
      </c>
      <c r="Y90">
        <v>0.57499999999999996</v>
      </c>
    </row>
    <row r="91" spans="3:25" x14ac:dyDescent="0.25">
      <c r="C91" t="s">
        <v>219</v>
      </c>
      <c r="D91">
        <v>156</v>
      </c>
      <c r="E91">
        <v>83932.437000000005</v>
      </c>
      <c r="F91">
        <v>86735.183000000005</v>
      </c>
      <c r="G91">
        <v>84262.751000000004</v>
      </c>
      <c r="H91">
        <v>82341.858999999997</v>
      </c>
      <c r="I91">
        <v>87158.167000000001</v>
      </c>
      <c r="J91">
        <v>97989.002999999997</v>
      </c>
      <c r="K91">
        <v>128738.97</v>
      </c>
      <c r="L91">
        <v>100091.455</v>
      </c>
      <c r="M91">
        <v>96274.145999999993</v>
      </c>
      <c r="N91">
        <v>119837.617</v>
      </c>
      <c r="O91">
        <v>123445.382</v>
      </c>
      <c r="P91">
        <v>98740.490999999995</v>
      </c>
      <c r="Q91">
        <v>77514.138999999996</v>
      </c>
      <c r="R91">
        <v>74149.766000000003</v>
      </c>
      <c r="S91">
        <v>44949.688999999998</v>
      </c>
      <c r="T91">
        <v>26544.616000000002</v>
      </c>
      <c r="U91">
        <v>16181.416999999999</v>
      </c>
      <c r="V91">
        <v>7581.777</v>
      </c>
      <c r="W91">
        <v>2305.0239999999999</v>
      </c>
      <c r="X91">
        <v>475.19299999999998</v>
      </c>
      <c r="Y91">
        <v>74.691999999999993</v>
      </c>
    </row>
    <row r="92" spans="3:25" x14ac:dyDescent="0.25">
      <c r="C92" t="s">
        <v>276</v>
      </c>
      <c r="D92">
        <v>344</v>
      </c>
      <c r="E92">
        <v>362.56299999999999</v>
      </c>
      <c r="F92">
        <v>301.63200000000001</v>
      </c>
      <c r="G92">
        <v>285.85599999999999</v>
      </c>
      <c r="H92">
        <v>266.803</v>
      </c>
      <c r="I92">
        <v>374.346</v>
      </c>
      <c r="J92">
        <v>493.28300000000002</v>
      </c>
      <c r="K92">
        <v>536.34199999999998</v>
      </c>
      <c r="L92">
        <v>585.82299999999998</v>
      </c>
      <c r="M92">
        <v>565.56200000000001</v>
      </c>
      <c r="N92">
        <v>563.56799999999998</v>
      </c>
      <c r="O92">
        <v>568.88199999999995</v>
      </c>
      <c r="P92">
        <v>639.024</v>
      </c>
      <c r="Q92">
        <v>589.09</v>
      </c>
      <c r="R92">
        <v>459.791</v>
      </c>
      <c r="S92">
        <v>344.12700000000001</v>
      </c>
      <c r="T92">
        <v>180.95699999999999</v>
      </c>
      <c r="U92">
        <v>177.82300000000001</v>
      </c>
      <c r="V92">
        <v>119.62</v>
      </c>
      <c r="W92">
        <v>59.859000000000002</v>
      </c>
      <c r="X92">
        <v>18.475999999999999</v>
      </c>
      <c r="Y92">
        <v>3.5609999999999999</v>
      </c>
    </row>
    <row r="93" spans="3:25" x14ac:dyDescent="0.25">
      <c r="C93" t="s">
        <v>414</v>
      </c>
      <c r="D93">
        <v>446</v>
      </c>
      <c r="E93">
        <v>35.933</v>
      </c>
      <c r="F93">
        <v>32.884</v>
      </c>
      <c r="G93">
        <v>24.391999999999999</v>
      </c>
      <c r="H93">
        <v>22.442</v>
      </c>
      <c r="I93">
        <v>36.024999999999999</v>
      </c>
      <c r="J93">
        <v>52.307000000000002</v>
      </c>
      <c r="K93">
        <v>67.616</v>
      </c>
      <c r="L93">
        <v>62.186</v>
      </c>
      <c r="M93">
        <v>43.957999999999998</v>
      </c>
      <c r="N93">
        <v>49.444000000000003</v>
      </c>
      <c r="O93">
        <v>46.927999999999997</v>
      </c>
      <c r="P93">
        <v>52.686999999999998</v>
      </c>
      <c r="Q93">
        <v>44.802999999999997</v>
      </c>
      <c r="R93">
        <v>34.191000000000003</v>
      </c>
      <c r="S93">
        <v>20.658999999999999</v>
      </c>
      <c r="T93">
        <v>9.2219999999999995</v>
      </c>
      <c r="U93">
        <v>6.5750000000000002</v>
      </c>
      <c r="V93">
        <v>4.3940000000000001</v>
      </c>
      <c r="W93">
        <v>2.0790000000000002</v>
      </c>
      <c r="X93">
        <v>0.53900000000000003</v>
      </c>
      <c r="Y93">
        <v>7.8E-2</v>
      </c>
    </row>
    <row r="94" spans="3:25" x14ac:dyDescent="0.25">
      <c r="C94" t="s">
        <v>415</v>
      </c>
      <c r="D94">
        <v>158</v>
      </c>
      <c r="E94">
        <v>1011.1369999999999</v>
      </c>
      <c r="F94">
        <v>1041.749</v>
      </c>
      <c r="G94">
        <v>975.803</v>
      </c>
      <c r="H94">
        <v>1213.008</v>
      </c>
      <c r="I94">
        <v>1502.279</v>
      </c>
      <c r="J94">
        <v>1618.075</v>
      </c>
      <c r="K94">
        <v>1621.625</v>
      </c>
      <c r="L94">
        <v>1926.961</v>
      </c>
      <c r="M94">
        <v>2032.452</v>
      </c>
      <c r="N94">
        <v>1755.3910000000001</v>
      </c>
      <c r="O94">
        <v>1806.6379999999999</v>
      </c>
      <c r="P94">
        <v>1852.58</v>
      </c>
      <c r="Q94">
        <v>1684.376</v>
      </c>
      <c r="R94">
        <v>1416.6379999999999</v>
      </c>
      <c r="S94">
        <v>903.13</v>
      </c>
      <c r="T94">
        <v>585.66999999999996</v>
      </c>
      <c r="U94">
        <v>438.185</v>
      </c>
      <c r="V94">
        <v>272.01600000000002</v>
      </c>
      <c r="W94">
        <v>122.053</v>
      </c>
      <c r="X94">
        <v>32.817</v>
      </c>
      <c r="Y94">
        <v>4.1920000000000002</v>
      </c>
    </row>
    <row r="95" spans="3:25" x14ac:dyDescent="0.25">
      <c r="C95" t="s">
        <v>384</v>
      </c>
      <c r="D95">
        <v>408</v>
      </c>
      <c r="E95">
        <v>1746.0930000000001</v>
      </c>
      <c r="F95">
        <v>1684.278</v>
      </c>
      <c r="G95">
        <v>1684.99</v>
      </c>
      <c r="H95">
        <v>1876.239</v>
      </c>
      <c r="I95">
        <v>1940.873</v>
      </c>
      <c r="J95">
        <v>1984.8430000000001</v>
      </c>
      <c r="K95">
        <v>1851.0250000000001</v>
      </c>
      <c r="L95">
        <v>1790.8689999999999</v>
      </c>
      <c r="M95">
        <v>1556.431</v>
      </c>
      <c r="N95">
        <v>2157.8850000000002</v>
      </c>
      <c r="O95">
        <v>2140.489</v>
      </c>
      <c r="P95">
        <v>1482.297</v>
      </c>
      <c r="Q95">
        <v>1472.5170000000001</v>
      </c>
      <c r="R95">
        <v>662.16600000000005</v>
      </c>
      <c r="S95">
        <v>745.08199999999999</v>
      </c>
      <c r="T95">
        <v>558.87699999999995</v>
      </c>
      <c r="U95">
        <v>308.65699999999998</v>
      </c>
      <c r="V95">
        <v>105.82599999999999</v>
      </c>
      <c r="W95">
        <v>25.428000000000001</v>
      </c>
      <c r="X95">
        <v>3.6829999999999998</v>
      </c>
      <c r="Y95">
        <v>0.26700000000000002</v>
      </c>
    </row>
    <row r="96" spans="3:25" x14ac:dyDescent="0.25">
      <c r="C96" t="s">
        <v>254</v>
      </c>
      <c r="D96">
        <v>392</v>
      </c>
      <c r="E96">
        <v>4778.4809999999998</v>
      </c>
      <c r="F96">
        <v>5401.4880000000003</v>
      </c>
      <c r="G96">
        <v>5564.5259999999998</v>
      </c>
      <c r="H96">
        <v>5702.6450000000004</v>
      </c>
      <c r="I96">
        <v>5996.8770000000004</v>
      </c>
      <c r="J96">
        <v>6150.4480000000003</v>
      </c>
      <c r="K96">
        <v>6789.7449999999999</v>
      </c>
      <c r="L96">
        <v>7665.6710000000003</v>
      </c>
      <c r="M96">
        <v>8468.4210000000003</v>
      </c>
      <c r="N96">
        <v>10004.654</v>
      </c>
      <c r="O96">
        <v>8658.6110000000008</v>
      </c>
      <c r="P96">
        <v>7882.9040000000005</v>
      </c>
      <c r="Q96">
        <v>7496.1220000000003</v>
      </c>
      <c r="R96">
        <v>8379.1129999999994</v>
      </c>
      <c r="S96">
        <v>9127.3179999999993</v>
      </c>
      <c r="T96">
        <v>7058.0569999999998</v>
      </c>
      <c r="U96">
        <v>5339.049</v>
      </c>
      <c r="V96">
        <v>3630.3440000000001</v>
      </c>
      <c r="W96">
        <v>1785.8230000000001</v>
      </c>
      <c r="X96">
        <v>517.52499999999998</v>
      </c>
      <c r="Y96">
        <v>78.635999999999996</v>
      </c>
    </row>
    <row r="97" spans="3:25" x14ac:dyDescent="0.25">
      <c r="C97" t="s">
        <v>273</v>
      </c>
      <c r="D97">
        <v>496</v>
      </c>
      <c r="E97">
        <v>375.46</v>
      </c>
      <c r="F97">
        <v>362.01499999999999</v>
      </c>
      <c r="G97">
        <v>281.84100000000001</v>
      </c>
      <c r="H97">
        <v>218.602</v>
      </c>
      <c r="I97">
        <v>228.499</v>
      </c>
      <c r="J97">
        <v>271.517</v>
      </c>
      <c r="K97">
        <v>309.399</v>
      </c>
      <c r="L97">
        <v>254.881</v>
      </c>
      <c r="M97">
        <v>222.852</v>
      </c>
      <c r="N97">
        <v>200.19399999999999</v>
      </c>
      <c r="O97">
        <v>168.357</v>
      </c>
      <c r="P97">
        <v>145.69499999999999</v>
      </c>
      <c r="Q97">
        <v>97.608999999999995</v>
      </c>
      <c r="R97">
        <v>60.753</v>
      </c>
      <c r="S97">
        <v>35.624000000000002</v>
      </c>
      <c r="T97">
        <v>24.265000000000001</v>
      </c>
      <c r="U97">
        <v>13.237</v>
      </c>
      <c r="V97">
        <v>5.7169999999999996</v>
      </c>
      <c r="W97">
        <v>1.506</v>
      </c>
      <c r="X97">
        <v>0.246</v>
      </c>
      <c r="Y97">
        <v>2.3E-2</v>
      </c>
    </row>
    <row r="98" spans="3:25" x14ac:dyDescent="0.25">
      <c r="C98" t="s">
        <v>294</v>
      </c>
      <c r="D98">
        <v>410</v>
      </c>
      <c r="E98">
        <v>1897.011</v>
      </c>
      <c r="F98">
        <v>2256.8020000000001</v>
      </c>
      <c r="G98">
        <v>2276.7820000000002</v>
      </c>
      <c r="H98">
        <v>2476.4760000000001</v>
      </c>
      <c r="I98">
        <v>3216.2440000000001</v>
      </c>
      <c r="J98">
        <v>3500.05</v>
      </c>
      <c r="K98">
        <v>3282.4250000000002</v>
      </c>
      <c r="L98">
        <v>3797.4140000000002</v>
      </c>
      <c r="M98">
        <v>3924.9340000000002</v>
      </c>
      <c r="N98">
        <v>4293.91</v>
      </c>
      <c r="O98">
        <v>4315.5159999999996</v>
      </c>
      <c r="P98">
        <v>4161.183</v>
      </c>
      <c r="Q98">
        <v>3774.5659999999998</v>
      </c>
      <c r="R98">
        <v>2679.14</v>
      </c>
      <c r="S98">
        <v>1998.0909999999999</v>
      </c>
      <c r="T98">
        <v>1562.5550000000001</v>
      </c>
      <c r="U98">
        <v>1083.829</v>
      </c>
      <c r="V98">
        <v>540.10299999999995</v>
      </c>
      <c r="W98">
        <v>184.90899999999999</v>
      </c>
      <c r="X98">
        <v>42.896000000000001</v>
      </c>
      <c r="Y98">
        <v>4.3470000000000004</v>
      </c>
    </row>
    <row r="99" spans="3:25" x14ac:dyDescent="0.25">
      <c r="C99" t="s">
        <v>211</v>
      </c>
      <c r="D99">
        <v>96</v>
      </c>
      <c r="E99">
        <v>31.672000000000001</v>
      </c>
      <c r="F99">
        <v>34.683</v>
      </c>
      <c r="G99">
        <v>31.309000000000001</v>
      </c>
      <c r="H99">
        <v>33.774999999999999</v>
      </c>
      <c r="I99">
        <v>35.200000000000003</v>
      </c>
      <c r="J99">
        <v>34.496000000000002</v>
      </c>
      <c r="K99">
        <v>38.140999999999998</v>
      </c>
      <c r="L99">
        <v>38.427</v>
      </c>
      <c r="M99">
        <v>35.64</v>
      </c>
      <c r="N99">
        <v>32.363</v>
      </c>
      <c r="O99">
        <v>27.992000000000001</v>
      </c>
      <c r="P99">
        <v>22.228999999999999</v>
      </c>
      <c r="Q99">
        <v>17.186</v>
      </c>
      <c r="R99">
        <v>11.327</v>
      </c>
      <c r="S99">
        <v>6.2110000000000003</v>
      </c>
      <c r="T99">
        <v>3.3580000000000001</v>
      </c>
      <c r="U99">
        <v>2.1749999999999998</v>
      </c>
      <c r="V99">
        <v>0.95799999999999996</v>
      </c>
      <c r="W99">
        <v>0.28100000000000003</v>
      </c>
      <c r="X99">
        <v>5.5E-2</v>
      </c>
      <c r="Y99">
        <v>5.0000000000000001E-3</v>
      </c>
    </row>
    <row r="100" spans="3:25" x14ac:dyDescent="0.25">
      <c r="C100" t="s">
        <v>215</v>
      </c>
      <c r="D100">
        <v>116</v>
      </c>
      <c r="E100">
        <v>1778.9770000000001</v>
      </c>
      <c r="F100">
        <v>1751.61</v>
      </c>
      <c r="G100">
        <v>1639.7439999999999</v>
      </c>
      <c r="H100">
        <v>1460.325</v>
      </c>
      <c r="I100">
        <v>1528.306</v>
      </c>
      <c r="J100">
        <v>1589.299</v>
      </c>
      <c r="K100">
        <v>1241.298</v>
      </c>
      <c r="L100">
        <v>1647.97</v>
      </c>
      <c r="M100">
        <v>626.899</v>
      </c>
      <c r="N100">
        <v>802.18799999999999</v>
      </c>
      <c r="O100">
        <v>732.822</v>
      </c>
      <c r="P100">
        <v>654.66200000000003</v>
      </c>
      <c r="Q100">
        <v>453.51900000000001</v>
      </c>
      <c r="R100">
        <v>363.25700000000001</v>
      </c>
      <c r="S100">
        <v>221.238</v>
      </c>
      <c r="T100">
        <v>131.20699999999999</v>
      </c>
      <c r="U100">
        <v>63.481999999999999</v>
      </c>
      <c r="V100">
        <v>25.585999999999999</v>
      </c>
      <c r="W100">
        <v>5.7850000000000001</v>
      </c>
      <c r="X100">
        <v>0.75700000000000001</v>
      </c>
      <c r="Y100">
        <v>0.04</v>
      </c>
    </row>
    <row r="101" spans="3:25" x14ac:dyDescent="0.25">
      <c r="C101" t="s">
        <v>247</v>
      </c>
      <c r="D101">
        <v>360</v>
      </c>
      <c r="E101">
        <v>23658.295999999998</v>
      </c>
      <c r="F101">
        <v>24298.15</v>
      </c>
      <c r="G101">
        <v>22984.659</v>
      </c>
      <c r="H101">
        <v>23318.346000000001</v>
      </c>
      <c r="I101">
        <v>22653.27</v>
      </c>
      <c r="J101">
        <v>20918.155999999999</v>
      </c>
      <c r="K101">
        <v>19973.248</v>
      </c>
      <c r="L101">
        <v>21193.374</v>
      </c>
      <c r="M101">
        <v>19680.740000000002</v>
      </c>
      <c r="N101">
        <v>18165.985000000001</v>
      </c>
      <c r="O101">
        <v>15954.982</v>
      </c>
      <c r="P101">
        <v>13200.117</v>
      </c>
      <c r="Q101">
        <v>10394.846</v>
      </c>
      <c r="R101">
        <v>7136.3649999999998</v>
      </c>
      <c r="S101">
        <v>4617.5429999999997</v>
      </c>
      <c r="T101">
        <v>2956.9319999999998</v>
      </c>
      <c r="U101">
        <v>1631.6769999999999</v>
      </c>
      <c r="V101">
        <v>593.13400000000001</v>
      </c>
      <c r="W101">
        <v>168.99299999999999</v>
      </c>
      <c r="X101">
        <v>23.245000000000001</v>
      </c>
      <c r="Y101">
        <v>1.5629999999999999</v>
      </c>
    </row>
    <row r="102" spans="3:25" x14ac:dyDescent="0.25">
      <c r="C102" t="s">
        <v>385</v>
      </c>
      <c r="D102">
        <v>418</v>
      </c>
      <c r="E102">
        <v>796.88699999999994</v>
      </c>
      <c r="F102">
        <v>769.85500000000002</v>
      </c>
      <c r="G102">
        <v>757.59900000000005</v>
      </c>
      <c r="H102">
        <v>708.65200000000004</v>
      </c>
      <c r="I102">
        <v>691.99900000000002</v>
      </c>
      <c r="J102">
        <v>670.62599999999998</v>
      </c>
      <c r="K102">
        <v>590.92600000000004</v>
      </c>
      <c r="L102">
        <v>495.60300000000001</v>
      </c>
      <c r="M102">
        <v>416.55700000000002</v>
      </c>
      <c r="N102">
        <v>356.12700000000001</v>
      </c>
      <c r="O102">
        <v>288.93200000000002</v>
      </c>
      <c r="P102">
        <v>237.64500000000001</v>
      </c>
      <c r="Q102">
        <v>184.27</v>
      </c>
      <c r="R102">
        <v>133.70099999999999</v>
      </c>
      <c r="S102">
        <v>84.637</v>
      </c>
      <c r="T102">
        <v>51.527000000000001</v>
      </c>
      <c r="U102">
        <v>27.327999999999999</v>
      </c>
      <c r="V102">
        <v>10.037000000000001</v>
      </c>
      <c r="W102">
        <v>2.34</v>
      </c>
      <c r="X102">
        <v>0.28799999999999998</v>
      </c>
      <c r="Y102">
        <v>0.02</v>
      </c>
    </row>
    <row r="103" spans="3:25" x14ac:dyDescent="0.25">
      <c r="C103" t="s">
        <v>267</v>
      </c>
      <c r="D103">
        <v>458</v>
      </c>
      <c r="E103">
        <v>2635.1109999999999</v>
      </c>
      <c r="F103">
        <v>2508.078</v>
      </c>
      <c r="G103">
        <v>2446.0259999999998</v>
      </c>
      <c r="H103">
        <v>2669.7429999999999</v>
      </c>
      <c r="I103">
        <v>2863.0569999999998</v>
      </c>
      <c r="J103">
        <v>2907.3110000000001</v>
      </c>
      <c r="K103">
        <v>2929.6460000000002</v>
      </c>
      <c r="L103">
        <v>2721.5720000000001</v>
      </c>
      <c r="M103">
        <v>2095.6979999999999</v>
      </c>
      <c r="N103">
        <v>1894.835</v>
      </c>
      <c r="O103">
        <v>1674.4749999999999</v>
      </c>
      <c r="P103">
        <v>1471.5619999999999</v>
      </c>
      <c r="Q103">
        <v>1223.817</v>
      </c>
      <c r="R103">
        <v>927.548</v>
      </c>
      <c r="S103">
        <v>657.88</v>
      </c>
      <c r="T103">
        <v>367.30099999999999</v>
      </c>
      <c r="U103">
        <v>229.56</v>
      </c>
      <c r="V103">
        <v>103.35</v>
      </c>
      <c r="W103">
        <v>31.442</v>
      </c>
      <c r="X103">
        <v>6.891</v>
      </c>
      <c r="Y103">
        <v>1.095</v>
      </c>
    </row>
    <row r="104" spans="3:25" x14ac:dyDescent="0.25">
      <c r="C104" t="s">
        <v>386</v>
      </c>
      <c r="D104">
        <v>104</v>
      </c>
      <c r="E104">
        <v>4508.5559999999996</v>
      </c>
      <c r="F104">
        <v>4512.7049999999999</v>
      </c>
      <c r="G104">
        <v>4845.3999999999996</v>
      </c>
      <c r="H104">
        <v>5071.2439999999997</v>
      </c>
      <c r="I104">
        <v>4759.0110000000004</v>
      </c>
      <c r="J104">
        <v>4404.07</v>
      </c>
      <c r="K104">
        <v>4127.7370000000001</v>
      </c>
      <c r="L104">
        <v>3945.2620000000002</v>
      </c>
      <c r="M104">
        <v>3759.9850000000001</v>
      </c>
      <c r="N104">
        <v>3459.9850000000001</v>
      </c>
      <c r="O104">
        <v>3051.348</v>
      </c>
      <c r="P104">
        <v>2521.8710000000001</v>
      </c>
      <c r="Q104">
        <v>2049.578</v>
      </c>
      <c r="R104">
        <v>1554.386</v>
      </c>
      <c r="S104">
        <v>891.29600000000005</v>
      </c>
      <c r="T104">
        <v>531.73400000000004</v>
      </c>
      <c r="U104">
        <v>279.50099999999998</v>
      </c>
      <c r="V104">
        <v>108.124</v>
      </c>
      <c r="W104">
        <v>24.686</v>
      </c>
      <c r="X104">
        <v>3.0960000000000001</v>
      </c>
      <c r="Y104">
        <v>0.219</v>
      </c>
    </row>
    <row r="105" spans="3:25" x14ac:dyDescent="0.25">
      <c r="C105" t="s">
        <v>290</v>
      </c>
      <c r="D105">
        <v>608</v>
      </c>
      <c r="E105">
        <v>10616.342000000001</v>
      </c>
      <c r="F105">
        <v>11397.951999999999</v>
      </c>
      <c r="G105">
        <v>10906.800999999999</v>
      </c>
      <c r="H105">
        <v>10462.894</v>
      </c>
      <c r="I105">
        <v>10104.334000000001</v>
      </c>
      <c r="J105">
        <v>9479.7800000000007</v>
      </c>
      <c r="K105">
        <v>8247.1970000000001</v>
      </c>
      <c r="L105">
        <v>7254.73</v>
      </c>
      <c r="M105">
        <v>6551.9629999999997</v>
      </c>
      <c r="N105">
        <v>5759.2640000000001</v>
      </c>
      <c r="O105">
        <v>5116.9970000000003</v>
      </c>
      <c r="P105">
        <v>4249.9229999999998</v>
      </c>
      <c r="Q105">
        <v>3393.1860000000001</v>
      </c>
      <c r="R105">
        <v>2485.6849999999999</v>
      </c>
      <c r="S105">
        <v>1661.4290000000001</v>
      </c>
      <c r="T105">
        <v>978.19</v>
      </c>
      <c r="U105">
        <v>580.53599999999994</v>
      </c>
      <c r="V105">
        <v>241.03299999999999</v>
      </c>
      <c r="W105">
        <v>76.063999999999993</v>
      </c>
      <c r="X105">
        <v>14.988</v>
      </c>
      <c r="Y105">
        <v>1.7969999999999999</v>
      </c>
    </row>
    <row r="106" spans="3:25" x14ac:dyDescent="0.25">
      <c r="C106" t="s">
        <v>305</v>
      </c>
      <c r="D106">
        <v>702</v>
      </c>
      <c r="E106">
        <v>258.17599999999999</v>
      </c>
      <c r="F106">
        <v>220.86099999999999</v>
      </c>
      <c r="G106">
        <v>240.625</v>
      </c>
      <c r="H106">
        <v>265.16899999999998</v>
      </c>
      <c r="I106">
        <v>397.53699999999998</v>
      </c>
      <c r="J106">
        <v>435.52100000000002</v>
      </c>
      <c r="K106">
        <v>434.67700000000002</v>
      </c>
      <c r="L106">
        <v>461.93799999999999</v>
      </c>
      <c r="M106">
        <v>473.27100000000002</v>
      </c>
      <c r="N106">
        <v>491.60199999999998</v>
      </c>
      <c r="O106">
        <v>466.411</v>
      </c>
      <c r="P106">
        <v>479.81099999999998</v>
      </c>
      <c r="Q106">
        <v>443.63099999999997</v>
      </c>
      <c r="R106">
        <v>355.69400000000002</v>
      </c>
      <c r="S106">
        <v>190.22800000000001</v>
      </c>
      <c r="T106">
        <v>99.406000000000006</v>
      </c>
      <c r="U106">
        <v>73.381</v>
      </c>
      <c r="V106">
        <v>40.499000000000002</v>
      </c>
      <c r="W106">
        <v>16.981000000000002</v>
      </c>
      <c r="X106">
        <v>4.173</v>
      </c>
      <c r="Y106">
        <v>0.751</v>
      </c>
    </row>
    <row r="107" spans="3:25" x14ac:dyDescent="0.25">
      <c r="C107" t="s">
        <v>317</v>
      </c>
      <c r="D107">
        <v>764</v>
      </c>
      <c r="E107">
        <v>3596.0520000000001</v>
      </c>
      <c r="F107">
        <v>3843.78</v>
      </c>
      <c r="G107">
        <v>4113.8050000000003</v>
      </c>
      <c r="H107">
        <v>4378.5060000000003</v>
      </c>
      <c r="I107">
        <v>4807.9040000000005</v>
      </c>
      <c r="J107">
        <v>4822.4040000000005</v>
      </c>
      <c r="K107">
        <v>4466.6940000000004</v>
      </c>
      <c r="L107">
        <v>4763.0330000000004</v>
      </c>
      <c r="M107">
        <v>5308.84</v>
      </c>
      <c r="N107">
        <v>5605.4170000000004</v>
      </c>
      <c r="O107">
        <v>5598.9530000000004</v>
      </c>
      <c r="P107">
        <v>5082.4409999999998</v>
      </c>
      <c r="Q107">
        <v>4367.6530000000002</v>
      </c>
      <c r="R107">
        <v>3256.703</v>
      </c>
      <c r="S107">
        <v>2282.3380000000002</v>
      </c>
      <c r="T107">
        <v>1584.23</v>
      </c>
      <c r="U107">
        <v>1070.912</v>
      </c>
      <c r="V107">
        <v>563.68299999999999</v>
      </c>
      <c r="W107">
        <v>225.19800000000001</v>
      </c>
      <c r="X107">
        <v>52.665999999999997</v>
      </c>
      <c r="Y107">
        <v>8.766</v>
      </c>
    </row>
    <row r="108" spans="3:25" x14ac:dyDescent="0.25">
      <c r="C108" t="s">
        <v>318</v>
      </c>
      <c r="D108">
        <v>626</v>
      </c>
      <c r="E108">
        <v>178.084</v>
      </c>
      <c r="F108">
        <v>153.79400000000001</v>
      </c>
      <c r="G108">
        <v>153.72999999999999</v>
      </c>
      <c r="H108">
        <v>152.98599999999999</v>
      </c>
      <c r="I108">
        <v>129.785</v>
      </c>
      <c r="J108">
        <v>115.123</v>
      </c>
      <c r="K108">
        <v>89.86</v>
      </c>
      <c r="L108">
        <v>69.167000000000002</v>
      </c>
      <c r="M108">
        <v>46.63</v>
      </c>
      <c r="N108">
        <v>54.158000000000001</v>
      </c>
      <c r="O108">
        <v>48.161999999999999</v>
      </c>
      <c r="P108">
        <v>40.311</v>
      </c>
      <c r="Q108">
        <v>30.184000000000001</v>
      </c>
      <c r="R108">
        <v>19.96</v>
      </c>
      <c r="S108">
        <v>17.931999999999999</v>
      </c>
      <c r="T108">
        <v>10.981999999999999</v>
      </c>
      <c r="U108">
        <v>5.4470000000000001</v>
      </c>
      <c r="V108">
        <v>1.6950000000000001</v>
      </c>
      <c r="W108">
        <v>0.40100000000000002</v>
      </c>
      <c r="X108">
        <v>4.8000000000000001E-2</v>
      </c>
      <c r="Y108">
        <v>3.0000000000000001E-3</v>
      </c>
    </row>
    <row r="109" spans="3:25" x14ac:dyDescent="0.25">
      <c r="C109" t="s">
        <v>330</v>
      </c>
      <c r="D109">
        <v>704</v>
      </c>
      <c r="E109">
        <v>7892.4709999999995</v>
      </c>
      <c r="F109">
        <v>7586.1009999999997</v>
      </c>
      <c r="G109">
        <v>7098.174</v>
      </c>
      <c r="H109">
        <v>6500.8689999999997</v>
      </c>
      <c r="I109">
        <v>6820.2030000000004</v>
      </c>
      <c r="J109">
        <v>8569.2929999999997</v>
      </c>
      <c r="K109">
        <v>8437.027</v>
      </c>
      <c r="L109">
        <v>7763.8969999999999</v>
      </c>
      <c r="M109">
        <v>7033.826</v>
      </c>
      <c r="N109">
        <v>6539.1360000000004</v>
      </c>
      <c r="O109">
        <v>5868.357</v>
      </c>
      <c r="P109">
        <v>5241.6109999999999</v>
      </c>
      <c r="Q109">
        <v>4330.9539999999997</v>
      </c>
      <c r="R109">
        <v>3011.7330000000002</v>
      </c>
      <c r="S109">
        <v>1651.9580000000001</v>
      </c>
      <c r="T109">
        <v>1126.5139999999999</v>
      </c>
      <c r="U109">
        <v>860.58600000000001</v>
      </c>
      <c r="V109">
        <v>609.173</v>
      </c>
      <c r="W109">
        <v>274.625</v>
      </c>
      <c r="X109">
        <v>98.224999999999994</v>
      </c>
      <c r="Y109">
        <v>23.85</v>
      </c>
    </row>
    <row r="110" spans="3:25" x14ac:dyDescent="0.25">
      <c r="C110" t="s">
        <v>194</v>
      </c>
      <c r="D110">
        <v>28</v>
      </c>
      <c r="E110">
        <v>7.3550000000000004</v>
      </c>
      <c r="F110">
        <v>7.2279999999999998</v>
      </c>
      <c r="G110">
        <v>6.8140000000000001</v>
      </c>
      <c r="H110">
        <v>7.0529999999999999</v>
      </c>
      <c r="I110">
        <v>7.5789999999999997</v>
      </c>
      <c r="J110">
        <v>7.3150000000000004</v>
      </c>
      <c r="K110">
        <v>7.0659999999999998</v>
      </c>
      <c r="L110">
        <v>7.0279999999999996</v>
      </c>
      <c r="M110">
        <v>6.9160000000000004</v>
      </c>
      <c r="N110">
        <v>6.944</v>
      </c>
      <c r="O110">
        <v>6.7990000000000004</v>
      </c>
      <c r="P110">
        <v>6.0330000000000004</v>
      </c>
      <c r="Q110">
        <v>4.6580000000000004</v>
      </c>
      <c r="R110">
        <v>3.3849999999999998</v>
      </c>
      <c r="S110">
        <v>2.5009999999999999</v>
      </c>
      <c r="T110">
        <v>1.6</v>
      </c>
      <c r="U110">
        <v>0.92300000000000004</v>
      </c>
      <c r="V110">
        <v>0.51</v>
      </c>
      <c r="W110">
        <v>0.182</v>
      </c>
      <c r="X110">
        <v>3.5000000000000003E-2</v>
      </c>
      <c r="Y110">
        <v>4.0000000000000001E-3</v>
      </c>
    </row>
    <row r="111" spans="3:25" x14ac:dyDescent="0.25">
      <c r="C111" t="s">
        <v>387</v>
      </c>
      <c r="D111">
        <v>533</v>
      </c>
      <c r="E111">
        <v>6.08</v>
      </c>
      <c r="F111">
        <v>5.6769999999999996</v>
      </c>
      <c r="G111">
        <v>6.8</v>
      </c>
      <c r="H111">
        <v>7.21</v>
      </c>
      <c r="I111">
        <v>7.5650000000000004</v>
      </c>
      <c r="J111">
        <v>7.415</v>
      </c>
      <c r="K111">
        <v>5.4240000000000004</v>
      </c>
      <c r="L111">
        <v>5.82</v>
      </c>
      <c r="M111">
        <v>6.74</v>
      </c>
      <c r="N111">
        <v>7.5309999999999997</v>
      </c>
      <c r="O111">
        <v>8.1419999999999995</v>
      </c>
      <c r="P111">
        <v>9.0630000000000006</v>
      </c>
      <c r="Q111">
        <v>7.7060000000000004</v>
      </c>
      <c r="R111">
        <v>6.048</v>
      </c>
      <c r="S111">
        <v>4.3019999999999996</v>
      </c>
      <c r="T111">
        <v>2.6560000000000001</v>
      </c>
      <c r="U111">
        <v>1.631</v>
      </c>
      <c r="V111">
        <v>0.71499999999999997</v>
      </c>
      <c r="W111">
        <v>0.20300000000000001</v>
      </c>
      <c r="X111">
        <v>3.4000000000000002E-2</v>
      </c>
      <c r="Y111">
        <v>4.0000000000000001E-3</v>
      </c>
    </row>
    <row r="112" spans="3:25" x14ac:dyDescent="0.25">
      <c r="C112" t="s">
        <v>200</v>
      </c>
      <c r="D112">
        <v>44</v>
      </c>
      <c r="E112">
        <v>27.064</v>
      </c>
      <c r="F112">
        <v>26.59</v>
      </c>
      <c r="G112">
        <v>31.292999999999999</v>
      </c>
      <c r="H112">
        <v>32.502000000000002</v>
      </c>
      <c r="I112">
        <v>33.496000000000002</v>
      </c>
      <c r="J112">
        <v>33.072000000000003</v>
      </c>
      <c r="K112">
        <v>28.015000000000001</v>
      </c>
      <c r="L112">
        <v>27.442</v>
      </c>
      <c r="M112">
        <v>27.577000000000002</v>
      </c>
      <c r="N112">
        <v>28.919</v>
      </c>
      <c r="O112">
        <v>25.568999999999999</v>
      </c>
      <c r="P112">
        <v>23.652999999999999</v>
      </c>
      <c r="Q112">
        <v>17.584</v>
      </c>
      <c r="R112">
        <v>11.846</v>
      </c>
      <c r="S112">
        <v>8.0229999999999997</v>
      </c>
      <c r="T112">
        <v>5.6219999999999999</v>
      </c>
      <c r="U112">
        <v>3.1869999999999998</v>
      </c>
      <c r="V112">
        <v>1.3089999999999999</v>
      </c>
      <c r="W112">
        <v>0.40500000000000003</v>
      </c>
      <c r="X112">
        <v>7.1999999999999995E-2</v>
      </c>
      <c r="Y112">
        <v>8.0000000000000002E-3</v>
      </c>
    </row>
    <row r="113" spans="3:25" x14ac:dyDescent="0.25">
      <c r="C113" t="s">
        <v>388</v>
      </c>
      <c r="D113">
        <v>52</v>
      </c>
      <c r="E113">
        <v>15.12</v>
      </c>
      <c r="F113">
        <v>15.497999999999999</v>
      </c>
      <c r="G113">
        <v>17.547000000000001</v>
      </c>
      <c r="H113">
        <v>18.965</v>
      </c>
      <c r="I113">
        <v>18.768999999999998</v>
      </c>
      <c r="J113">
        <v>18.809000000000001</v>
      </c>
      <c r="K113">
        <v>18.100999999999999</v>
      </c>
      <c r="L113">
        <v>19.023</v>
      </c>
      <c r="M113">
        <v>18.803999999999998</v>
      </c>
      <c r="N113">
        <v>20.263000000000002</v>
      </c>
      <c r="O113">
        <v>19.635000000000002</v>
      </c>
      <c r="P113">
        <v>20.300999999999998</v>
      </c>
      <c r="Q113">
        <v>18.54</v>
      </c>
      <c r="R113">
        <v>15.032999999999999</v>
      </c>
      <c r="S113">
        <v>11.888999999999999</v>
      </c>
      <c r="T113">
        <v>8.2650000000000006</v>
      </c>
      <c r="U113">
        <v>6.109</v>
      </c>
      <c r="V113">
        <v>3.77</v>
      </c>
      <c r="W113">
        <v>2.0169999999999999</v>
      </c>
      <c r="X113">
        <v>0.70899999999999996</v>
      </c>
      <c r="Y113">
        <v>0.20399999999999999</v>
      </c>
    </row>
    <row r="114" spans="3:25" x14ac:dyDescent="0.25">
      <c r="C114" t="s">
        <v>389</v>
      </c>
      <c r="D114">
        <v>192</v>
      </c>
      <c r="E114">
        <v>571.28300000000002</v>
      </c>
      <c r="F114">
        <v>628.09299999999996</v>
      </c>
      <c r="G114">
        <v>603.90300000000002</v>
      </c>
      <c r="H114">
        <v>642.82899999999995</v>
      </c>
      <c r="I114">
        <v>701.26800000000003</v>
      </c>
      <c r="J114">
        <v>719.75099999999998</v>
      </c>
      <c r="K114">
        <v>831.04100000000005</v>
      </c>
      <c r="L114">
        <v>691.99199999999996</v>
      </c>
      <c r="M114">
        <v>617.64400000000001</v>
      </c>
      <c r="N114">
        <v>944.33799999999997</v>
      </c>
      <c r="O114">
        <v>998.47400000000005</v>
      </c>
      <c r="P114">
        <v>968.82100000000003</v>
      </c>
      <c r="Q114">
        <v>606.99400000000003</v>
      </c>
      <c r="R114">
        <v>567.02800000000002</v>
      </c>
      <c r="S114">
        <v>449.12900000000002</v>
      </c>
      <c r="T114">
        <v>355.07799999999997</v>
      </c>
      <c r="U114">
        <v>229.56399999999999</v>
      </c>
      <c r="V114">
        <v>121.626</v>
      </c>
      <c r="W114">
        <v>56.177999999999997</v>
      </c>
      <c r="X114">
        <v>18.439</v>
      </c>
      <c r="Y114">
        <v>3.1429999999999998</v>
      </c>
    </row>
    <row r="115" spans="3:25" x14ac:dyDescent="0.25">
      <c r="C115" t="s">
        <v>390</v>
      </c>
      <c r="D115">
        <v>531</v>
      </c>
      <c r="E115">
        <v>8.9960000000000004</v>
      </c>
      <c r="F115">
        <v>10.335000000000001</v>
      </c>
      <c r="G115">
        <v>10.497</v>
      </c>
      <c r="H115">
        <v>11.077</v>
      </c>
      <c r="I115">
        <v>9.5009999999999994</v>
      </c>
      <c r="J115">
        <v>10.037000000000001</v>
      </c>
      <c r="K115">
        <v>9.3279999999999994</v>
      </c>
      <c r="L115">
        <v>9.3949999999999996</v>
      </c>
      <c r="M115">
        <v>9.2360000000000007</v>
      </c>
      <c r="N115">
        <v>11.045</v>
      </c>
      <c r="O115">
        <v>11.638999999999999</v>
      </c>
      <c r="P115">
        <v>12.787000000000001</v>
      </c>
      <c r="Q115">
        <v>11.234</v>
      </c>
      <c r="R115">
        <v>9.4710000000000001</v>
      </c>
      <c r="S115">
        <v>7.7869999999999999</v>
      </c>
      <c r="T115">
        <v>5.218</v>
      </c>
      <c r="U115">
        <v>3.516</v>
      </c>
      <c r="V115">
        <v>1.911</v>
      </c>
      <c r="W115">
        <v>0.79500000000000004</v>
      </c>
      <c r="X115">
        <v>0.249</v>
      </c>
      <c r="Y115">
        <v>4.5999999999999999E-2</v>
      </c>
    </row>
    <row r="116" spans="3:25" x14ac:dyDescent="0.25">
      <c r="C116" t="s">
        <v>226</v>
      </c>
      <c r="D116">
        <v>214</v>
      </c>
      <c r="E116">
        <v>1002.829</v>
      </c>
      <c r="F116">
        <v>996.51900000000001</v>
      </c>
      <c r="G116">
        <v>977.245</v>
      </c>
      <c r="H116">
        <v>958.63</v>
      </c>
      <c r="I116">
        <v>939.56299999999999</v>
      </c>
      <c r="J116">
        <v>914.75400000000002</v>
      </c>
      <c r="K116">
        <v>825.57299999999998</v>
      </c>
      <c r="L116">
        <v>738.80899999999997</v>
      </c>
      <c r="M116">
        <v>668.26300000000003</v>
      </c>
      <c r="N116">
        <v>606.226</v>
      </c>
      <c r="O116">
        <v>541.43499999999995</v>
      </c>
      <c r="P116">
        <v>472.9</v>
      </c>
      <c r="Q116">
        <v>388.56400000000002</v>
      </c>
      <c r="R116">
        <v>293.57499999999999</v>
      </c>
      <c r="S116">
        <v>204.15</v>
      </c>
      <c r="T116">
        <v>137.35</v>
      </c>
      <c r="U116">
        <v>94.846000000000004</v>
      </c>
      <c r="V116">
        <v>52.906999999999996</v>
      </c>
      <c r="W116">
        <v>23.314</v>
      </c>
      <c r="X116">
        <v>8.0530000000000008</v>
      </c>
      <c r="Y116">
        <v>2.399</v>
      </c>
    </row>
    <row r="117" spans="3:25" x14ac:dyDescent="0.25">
      <c r="C117" t="s">
        <v>391</v>
      </c>
      <c r="D117">
        <v>308</v>
      </c>
      <c r="E117">
        <v>9.0120000000000005</v>
      </c>
      <c r="F117">
        <v>9.1189999999999998</v>
      </c>
      <c r="G117">
        <v>8.6229999999999993</v>
      </c>
      <c r="H117">
        <v>7.5140000000000002</v>
      </c>
      <c r="I117">
        <v>8.6989999999999998</v>
      </c>
      <c r="J117">
        <v>9.59</v>
      </c>
      <c r="K117">
        <v>9.3450000000000006</v>
      </c>
      <c r="L117">
        <v>8.8650000000000002</v>
      </c>
      <c r="M117">
        <v>6.5609999999999999</v>
      </c>
      <c r="N117">
        <v>6.31</v>
      </c>
      <c r="O117">
        <v>5.9169999999999998</v>
      </c>
      <c r="P117">
        <v>6.2279999999999998</v>
      </c>
      <c r="Q117">
        <v>5.718</v>
      </c>
      <c r="R117">
        <v>3.8580000000000001</v>
      </c>
      <c r="S117">
        <v>2.7930000000000001</v>
      </c>
      <c r="T117">
        <v>1.9950000000000001</v>
      </c>
      <c r="U117">
        <v>1.3859999999999999</v>
      </c>
      <c r="V117">
        <v>0.70199999999999996</v>
      </c>
      <c r="W117">
        <v>0.24299999999999999</v>
      </c>
      <c r="X117">
        <v>3.7999999999999999E-2</v>
      </c>
      <c r="Y117">
        <v>3.0000000000000001E-3</v>
      </c>
    </row>
    <row r="118" spans="3:25" x14ac:dyDescent="0.25">
      <c r="C118" t="s">
        <v>392</v>
      </c>
      <c r="D118">
        <v>312</v>
      </c>
      <c r="E118">
        <v>22.896999999999998</v>
      </c>
      <c r="F118">
        <v>22.097000000000001</v>
      </c>
      <c r="G118">
        <v>28.713999999999999</v>
      </c>
      <c r="H118">
        <v>29.798999999999999</v>
      </c>
      <c r="I118">
        <v>28.16</v>
      </c>
      <c r="J118">
        <v>18.718</v>
      </c>
      <c r="K118">
        <v>16.279</v>
      </c>
      <c r="L118">
        <v>17.481000000000002</v>
      </c>
      <c r="M118">
        <v>21.521000000000001</v>
      </c>
      <c r="N118">
        <v>27.786000000000001</v>
      </c>
      <c r="O118">
        <v>30.74</v>
      </c>
      <c r="P118">
        <v>31.462</v>
      </c>
      <c r="Q118">
        <v>27.039000000000001</v>
      </c>
      <c r="R118">
        <v>23.53</v>
      </c>
      <c r="S118">
        <v>19.38</v>
      </c>
      <c r="T118">
        <v>13.561999999999999</v>
      </c>
      <c r="U118">
        <v>9.7279999999999998</v>
      </c>
      <c r="V118">
        <v>6.399</v>
      </c>
      <c r="W118">
        <v>3.3439999999999999</v>
      </c>
      <c r="X118">
        <v>1.1919999999999999</v>
      </c>
      <c r="Y118">
        <v>0.29899999999999999</v>
      </c>
    </row>
    <row r="119" spans="3:25" x14ac:dyDescent="0.25">
      <c r="C119" t="s">
        <v>242</v>
      </c>
      <c r="D119">
        <v>332</v>
      </c>
      <c r="E119">
        <v>1262.943</v>
      </c>
      <c r="F119">
        <v>1237.836</v>
      </c>
      <c r="G119">
        <v>1202.069</v>
      </c>
      <c r="H119">
        <v>1144.46</v>
      </c>
      <c r="I119">
        <v>1065.1980000000001</v>
      </c>
      <c r="J119">
        <v>979.25900000000001</v>
      </c>
      <c r="K119">
        <v>905.79899999999998</v>
      </c>
      <c r="L119">
        <v>825.85699999999997</v>
      </c>
      <c r="M119">
        <v>627.21600000000001</v>
      </c>
      <c r="N119">
        <v>479.27100000000002</v>
      </c>
      <c r="O119">
        <v>423.74900000000002</v>
      </c>
      <c r="P119">
        <v>365.875</v>
      </c>
      <c r="Q119">
        <v>292.95400000000001</v>
      </c>
      <c r="R119">
        <v>230.97800000000001</v>
      </c>
      <c r="S119">
        <v>150.81200000000001</v>
      </c>
      <c r="T119">
        <v>109.40300000000001</v>
      </c>
      <c r="U119">
        <v>61.69</v>
      </c>
      <c r="V119">
        <v>26.501999999999999</v>
      </c>
      <c r="W119">
        <v>8.3689999999999998</v>
      </c>
      <c r="X119">
        <v>1.964</v>
      </c>
      <c r="Y119">
        <v>0.32900000000000001</v>
      </c>
    </row>
    <row r="120" spans="3:25" x14ac:dyDescent="0.25">
      <c r="C120" t="s">
        <v>253</v>
      </c>
      <c r="D120">
        <v>388</v>
      </c>
      <c r="E120">
        <v>230.82300000000001</v>
      </c>
      <c r="F120">
        <v>233.96600000000001</v>
      </c>
      <c r="G120">
        <v>226.88200000000001</v>
      </c>
      <c r="H120">
        <v>239.71799999999999</v>
      </c>
      <c r="I120">
        <v>261.17</v>
      </c>
      <c r="J120">
        <v>254.32599999999999</v>
      </c>
      <c r="K120">
        <v>232.494</v>
      </c>
      <c r="L120">
        <v>210.88900000000001</v>
      </c>
      <c r="M120">
        <v>178.572</v>
      </c>
      <c r="N120">
        <v>178.858</v>
      </c>
      <c r="O120">
        <v>171.26499999999999</v>
      </c>
      <c r="P120">
        <v>149.268</v>
      </c>
      <c r="Q120">
        <v>124.125</v>
      </c>
      <c r="R120">
        <v>90.415999999999997</v>
      </c>
      <c r="S120">
        <v>70.718999999999994</v>
      </c>
      <c r="T120">
        <v>48.802</v>
      </c>
      <c r="U120">
        <v>32.091999999999999</v>
      </c>
      <c r="V120">
        <v>17.745000000000001</v>
      </c>
      <c r="W120">
        <v>7.3259999999999996</v>
      </c>
      <c r="X120">
        <v>1.4910000000000001</v>
      </c>
      <c r="Y120">
        <v>0.214</v>
      </c>
    </row>
    <row r="121" spans="3:25" x14ac:dyDescent="0.25">
      <c r="C121" t="s">
        <v>393</v>
      </c>
      <c r="D121">
        <v>474</v>
      </c>
      <c r="E121">
        <v>18.353000000000002</v>
      </c>
      <c r="F121">
        <v>17.600000000000001</v>
      </c>
      <c r="G121">
        <v>22.798999999999999</v>
      </c>
      <c r="H121">
        <v>24.323</v>
      </c>
      <c r="I121">
        <v>24.395</v>
      </c>
      <c r="J121">
        <v>16.977</v>
      </c>
      <c r="K121">
        <v>16.928000000000001</v>
      </c>
      <c r="L121">
        <v>17.173999999999999</v>
      </c>
      <c r="M121">
        <v>18.747</v>
      </c>
      <c r="N121">
        <v>25.44</v>
      </c>
      <c r="O121">
        <v>30.456</v>
      </c>
      <c r="P121">
        <v>32.338999999999999</v>
      </c>
      <c r="Q121">
        <v>28.311</v>
      </c>
      <c r="R121">
        <v>24.155999999999999</v>
      </c>
      <c r="S121">
        <v>19.568000000000001</v>
      </c>
      <c r="T121">
        <v>14.103999999999999</v>
      </c>
      <c r="U121">
        <v>11.244999999999999</v>
      </c>
      <c r="V121">
        <v>7.6379999999999999</v>
      </c>
      <c r="W121">
        <v>3.3610000000000002</v>
      </c>
      <c r="X121">
        <v>1.1160000000000001</v>
      </c>
      <c r="Y121">
        <v>0.23499999999999999</v>
      </c>
    </row>
    <row r="122" spans="3:25" x14ac:dyDescent="0.25">
      <c r="C122" t="s">
        <v>394</v>
      </c>
      <c r="D122">
        <v>630</v>
      </c>
      <c r="E122">
        <v>84.290999999999997</v>
      </c>
      <c r="F122">
        <v>156.03299999999999</v>
      </c>
      <c r="G122">
        <v>210.32300000000001</v>
      </c>
      <c r="H122">
        <v>184.34299999999999</v>
      </c>
      <c r="I122">
        <v>143.483</v>
      </c>
      <c r="J122">
        <v>145.27000000000001</v>
      </c>
      <c r="K122">
        <v>156.59100000000001</v>
      </c>
      <c r="L122">
        <v>174.92599999999999</v>
      </c>
      <c r="M122">
        <v>196.071</v>
      </c>
      <c r="N122">
        <v>203.173</v>
      </c>
      <c r="O122">
        <v>211.74199999999999</v>
      </c>
      <c r="P122">
        <v>202.44200000000001</v>
      </c>
      <c r="Q122">
        <v>196.316</v>
      </c>
      <c r="R122">
        <v>164.709</v>
      </c>
      <c r="S122">
        <v>157.59</v>
      </c>
      <c r="T122">
        <v>116.09099999999999</v>
      </c>
      <c r="U122">
        <v>78.200999999999993</v>
      </c>
      <c r="V122">
        <v>47.360999999999997</v>
      </c>
      <c r="W122">
        <v>22.265000000000001</v>
      </c>
      <c r="X122">
        <v>7.9589999999999996</v>
      </c>
      <c r="Y122">
        <v>1.66</v>
      </c>
    </row>
    <row r="123" spans="3:25" x14ac:dyDescent="0.25">
      <c r="C123" t="s">
        <v>298</v>
      </c>
      <c r="D123">
        <v>662</v>
      </c>
      <c r="E123">
        <v>10.826000000000001</v>
      </c>
      <c r="F123">
        <v>10.986000000000001</v>
      </c>
      <c r="G123">
        <v>11.151999999999999</v>
      </c>
      <c r="H123">
        <v>13.183</v>
      </c>
      <c r="I123">
        <v>15.87</v>
      </c>
      <c r="J123">
        <v>16.946000000000002</v>
      </c>
      <c r="K123">
        <v>14.292</v>
      </c>
      <c r="L123">
        <v>14.154999999999999</v>
      </c>
      <c r="M123">
        <v>12.885999999999999</v>
      </c>
      <c r="N123">
        <v>12.631</v>
      </c>
      <c r="O123">
        <v>12.356999999999999</v>
      </c>
      <c r="P123">
        <v>11.018000000000001</v>
      </c>
      <c r="Q123">
        <v>8.4169999999999998</v>
      </c>
      <c r="R123">
        <v>6.1379999999999999</v>
      </c>
      <c r="S123">
        <v>4.88</v>
      </c>
      <c r="T123">
        <v>3.4769999999999999</v>
      </c>
      <c r="U123">
        <v>2.4049999999999998</v>
      </c>
      <c r="V123">
        <v>1.24</v>
      </c>
      <c r="W123">
        <v>0.57999999999999996</v>
      </c>
      <c r="X123">
        <v>0.157</v>
      </c>
      <c r="Y123">
        <v>3.3000000000000002E-2</v>
      </c>
    </row>
    <row r="124" spans="3:25" x14ac:dyDescent="0.25">
      <c r="C124" t="s">
        <v>395</v>
      </c>
      <c r="D124">
        <v>670</v>
      </c>
      <c r="E124">
        <v>7.7060000000000004</v>
      </c>
      <c r="F124">
        <v>8.2409999999999997</v>
      </c>
      <c r="G124">
        <v>8.3550000000000004</v>
      </c>
      <c r="H124">
        <v>9.0730000000000004</v>
      </c>
      <c r="I124">
        <v>9.2899999999999991</v>
      </c>
      <c r="J124">
        <v>8.2119999999999997</v>
      </c>
      <c r="K124">
        <v>7.94</v>
      </c>
      <c r="L124">
        <v>7.7709999999999999</v>
      </c>
      <c r="M124">
        <v>7.5229999999999997</v>
      </c>
      <c r="N124">
        <v>6.9610000000000003</v>
      </c>
      <c r="O124">
        <v>6.782</v>
      </c>
      <c r="P124">
        <v>6.8079999999999998</v>
      </c>
      <c r="Q124">
        <v>5.2889999999999997</v>
      </c>
      <c r="R124">
        <v>3.887</v>
      </c>
      <c r="S124">
        <v>2.7210000000000001</v>
      </c>
      <c r="T124">
        <v>1.782</v>
      </c>
      <c r="U124">
        <v>1.44</v>
      </c>
      <c r="V124">
        <v>0.9</v>
      </c>
      <c r="W124">
        <v>0.22700000000000001</v>
      </c>
      <c r="X124">
        <v>3.4000000000000002E-2</v>
      </c>
      <c r="Y124">
        <v>5.0000000000000001E-3</v>
      </c>
    </row>
    <row r="125" spans="3:25" x14ac:dyDescent="0.25">
      <c r="C125" t="s">
        <v>396</v>
      </c>
      <c r="D125">
        <v>780</v>
      </c>
      <c r="E125">
        <v>88.366</v>
      </c>
      <c r="F125">
        <v>96.084999999999994</v>
      </c>
      <c r="G125">
        <v>96.32</v>
      </c>
      <c r="H125">
        <v>89.49</v>
      </c>
      <c r="I125">
        <v>85.695999999999998</v>
      </c>
      <c r="J125">
        <v>97.305999999999997</v>
      </c>
      <c r="K125">
        <v>116.833</v>
      </c>
      <c r="L125">
        <v>126.02800000000001</v>
      </c>
      <c r="M125">
        <v>101.245</v>
      </c>
      <c r="N125">
        <v>90.197000000000003</v>
      </c>
      <c r="O125">
        <v>82.715000000000003</v>
      </c>
      <c r="P125">
        <v>92.346999999999994</v>
      </c>
      <c r="Q125">
        <v>75.716999999999999</v>
      </c>
      <c r="R125">
        <v>60.176000000000002</v>
      </c>
      <c r="S125">
        <v>43.96</v>
      </c>
      <c r="T125">
        <v>29.693999999999999</v>
      </c>
      <c r="U125">
        <v>16.45</v>
      </c>
      <c r="V125">
        <v>7.3609999999999998</v>
      </c>
      <c r="W125">
        <v>2.7679999999999998</v>
      </c>
      <c r="X125">
        <v>0.64900000000000002</v>
      </c>
      <c r="Y125">
        <v>8.7999999999999995E-2</v>
      </c>
    </row>
    <row r="126" spans="3:25" x14ac:dyDescent="0.25">
      <c r="C126" t="s">
        <v>397</v>
      </c>
      <c r="D126">
        <v>850</v>
      </c>
      <c r="E126">
        <v>5.97</v>
      </c>
      <c r="F126">
        <v>6.8979999999999997</v>
      </c>
      <c r="G126">
        <v>7.242</v>
      </c>
      <c r="H126">
        <v>6.7759999999999998</v>
      </c>
      <c r="I126">
        <v>6.484</v>
      </c>
      <c r="J126">
        <v>6.2469999999999999</v>
      </c>
      <c r="K126">
        <v>4.6879999999999997</v>
      </c>
      <c r="L126">
        <v>5.0430000000000001</v>
      </c>
      <c r="M126">
        <v>5.5410000000000004</v>
      </c>
      <c r="N126">
        <v>6.2249999999999996</v>
      </c>
      <c r="O126">
        <v>7.085</v>
      </c>
      <c r="P126">
        <v>7.3639999999999999</v>
      </c>
      <c r="Q126">
        <v>7.4580000000000002</v>
      </c>
      <c r="R126">
        <v>6.5629999999999997</v>
      </c>
      <c r="S126">
        <v>6.3470000000000004</v>
      </c>
      <c r="T126">
        <v>4.5540000000000003</v>
      </c>
      <c r="U126">
        <v>2.3929999999999998</v>
      </c>
      <c r="V126">
        <v>1.079</v>
      </c>
      <c r="W126">
        <v>0.36699999999999999</v>
      </c>
      <c r="X126">
        <v>8.7999999999999995E-2</v>
      </c>
      <c r="Y126">
        <v>1.0999999999999999E-2</v>
      </c>
    </row>
    <row r="127" spans="3:25" x14ac:dyDescent="0.25">
      <c r="C127" t="s">
        <v>205</v>
      </c>
      <c r="D127">
        <v>84</v>
      </c>
      <c r="E127">
        <v>39.445999999999998</v>
      </c>
      <c r="F127">
        <v>38.659999999999997</v>
      </c>
      <c r="G127">
        <v>37.997</v>
      </c>
      <c r="H127">
        <v>39.853000000000002</v>
      </c>
      <c r="I127">
        <v>39.341000000000001</v>
      </c>
      <c r="J127">
        <v>36.478000000000002</v>
      </c>
      <c r="K127">
        <v>32.103000000000002</v>
      </c>
      <c r="L127">
        <v>27.611999999999998</v>
      </c>
      <c r="M127">
        <v>23.055</v>
      </c>
      <c r="N127">
        <v>20.902999999999999</v>
      </c>
      <c r="O127">
        <v>17.481000000000002</v>
      </c>
      <c r="P127">
        <v>14.329000000000001</v>
      </c>
      <c r="Q127">
        <v>10.45</v>
      </c>
      <c r="R127">
        <v>7.3639999999999999</v>
      </c>
      <c r="S127">
        <v>5.0190000000000001</v>
      </c>
      <c r="T127">
        <v>3.2919999999999998</v>
      </c>
      <c r="U127">
        <v>2.2629999999999999</v>
      </c>
      <c r="V127">
        <v>1.2709999999999999</v>
      </c>
      <c r="W127">
        <v>0.60699999999999998</v>
      </c>
      <c r="X127">
        <v>8.5000000000000006E-2</v>
      </c>
      <c r="Y127">
        <v>1.2E-2</v>
      </c>
    </row>
    <row r="128" spans="3:25" x14ac:dyDescent="0.25">
      <c r="C128" t="s">
        <v>222</v>
      </c>
      <c r="D128">
        <v>188</v>
      </c>
      <c r="E128">
        <v>348.00200000000001</v>
      </c>
      <c r="F128">
        <v>357.596</v>
      </c>
      <c r="G128">
        <v>355.40600000000001</v>
      </c>
      <c r="H128">
        <v>363.43099999999998</v>
      </c>
      <c r="I128">
        <v>400.23099999999999</v>
      </c>
      <c r="J128">
        <v>424.22500000000002</v>
      </c>
      <c r="K128">
        <v>430.58100000000002</v>
      </c>
      <c r="L128">
        <v>395.07400000000001</v>
      </c>
      <c r="M128">
        <v>348.23599999999999</v>
      </c>
      <c r="N128">
        <v>302.32600000000002</v>
      </c>
      <c r="O128">
        <v>304.94200000000001</v>
      </c>
      <c r="P128">
        <v>297.45299999999997</v>
      </c>
      <c r="Q128">
        <v>244.30699999999999</v>
      </c>
      <c r="R128">
        <v>178.70099999999999</v>
      </c>
      <c r="S128">
        <v>138.63999999999999</v>
      </c>
      <c r="T128">
        <v>92.224999999999994</v>
      </c>
      <c r="U128">
        <v>59.91</v>
      </c>
      <c r="V128">
        <v>33.380000000000003</v>
      </c>
      <c r="W128">
        <v>14.689</v>
      </c>
      <c r="X128">
        <v>4.1269999999999998</v>
      </c>
      <c r="Y128">
        <v>0.63200000000000001</v>
      </c>
    </row>
    <row r="129" spans="3:25" x14ac:dyDescent="0.25">
      <c r="C129" t="s">
        <v>229</v>
      </c>
      <c r="D129">
        <v>222</v>
      </c>
      <c r="E129">
        <v>576.21600000000001</v>
      </c>
      <c r="F129">
        <v>570.60699999999997</v>
      </c>
      <c r="G129">
        <v>577.89599999999996</v>
      </c>
      <c r="H129">
        <v>587.92700000000002</v>
      </c>
      <c r="I129">
        <v>633.08399999999995</v>
      </c>
      <c r="J129">
        <v>582.73</v>
      </c>
      <c r="K129">
        <v>474.24099999999999</v>
      </c>
      <c r="L129">
        <v>408.20100000000002</v>
      </c>
      <c r="M129">
        <v>381.60399999999998</v>
      </c>
      <c r="N129">
        <v>343.53800000000001</v>
      </c>
      <c r="O129">
        <v>303.12700000000001</v>
      </c>
      <c r="P129">
        <v>264.94400000000002</v>
      </c>
      <c r="Q129">
        <v>220.96700000000001</v>
      </c>
      <c r="R129">
        <v>185.32900000000001</v>
      </c>
      <c r="S129">
        <v>139.60499999999999</v>
      </c>
      <c r="T129">
        <v>108.786</v>
      </c>
      <c r="U129">
        <v>74.608000000000004</v>
      </c>
      <c r="V129">
        <v>37.716999999999999</v>
      </c>
      <c r="W129">
        <v>12.339</v>
      </c>
      <c r="X129">
        <v>2.5</v>
      </c>
      <c r="Y129">
        <v>0.23499999999999999</v>
      </c>
    </row>
    <row r="130" spans="3:25" x14ac:dyDescent="0.25">
      <c r="C130" t="s">
        <v>239</v>
      </c>
      <c r="D130">
        <v>320</v>
      </c>
      <c r="E130">
        <v>2065.3820000000001</v>
      </c>
      <c r="F130">
        <v>1982.085</v>
      </c>
      <c r="G130">
        <v>1926.021</v>
      </c>
      <c r="H130">
        <v>1945.5840000000001</v>
      </c>
      <c r="I130">
        <v>1802.4949999999999</v>
      </c>
      <c r="J130">
        <v>1610.664</v>
      </c>
      <c r="K130">
        <v>1354.136</v>
      </c>
      <c r="L130">
        <v>1177.9280000000001</v>
      </c>
      <c r="M130">
        <v>956.404</v>
      </c>
      <c r="N130">
        <v>745.58900000000006</v>
      </c>
      <c r="O130">
        <v>583.90599999999995</v>
      </c>
      <c r="P130">
        <v>469.911</v>
      </c>
      <c r="Q130">
        <v>392.15199999999999</v>
      </c>
      <c r="R130">
        <v>326.7</v>
      </c>
      <c r="S130">
        <v>221.43</v>
      </c>
      <c r="T130">
        <v>161.077</v>
      </c>
      <c r="U130">
        <v>108.84099999999999</v>
      </c>
      <c r="V130">
        <v>58.936999999999998</v>
      </c>
      <c r="W130">
        <v>21.501000000000001</v>
      </c>
      <c r="X130">
        <v>4.3600000000000003</v>
      </c>
      <c r="Y130">
        <v>0.46400000000000002</v>
      </c>
    </row>
    <row r="131" spans="3:25" x14ac:dyDescent="0.25">
      <c r="C131" t="s">
        <v>243</v>
      </c>
      <c r="D131">
        <v>340</v>
      </c>
      <c r="E131">
        <v>1017.0170000000001</v>
      </c>
      <c r="F131">
        <v>988.97500000000002</v>
      </c>
      <c r="G131">
        <v>1023.648</v>
      </c>
      <c r="H131">
        <v>1040.99</v>
      </c>
      <c r="I131">
        <v>1014.731</v>
      </c>
      <c r="J131">
        <v>890.68700000000001</v>
      </c>
      <c r="K131">
        <v>783.56600000000003</v>
      </c>
      <c r="L131">
        <v>687.37099999999998</v>
      </c>
      <c r="M131">
        <v>579.93299999999999</v>
      </c>
      <c r="N131">
        <v>467.803</v>
      </c>
      <c r="O131">
        <v>381.15499999999997</v>
      </c>
      <c r="P131">
        <v>298.85599999999999</v>
      </c>
      <c r="Q131">
        <v>237.30199999999999</v>
      </c>
      <c r="R131">
        <v>182.77600000000001</v>
      </c>
      <c r="S131">
        <v>122.73099999999999</v>
      </c>
      <c r="T131">
        <v>82.58</v>
      </c>
      <c r="U131">
        <v>55.284999999999997</v>
      </c>
      <c r="V131">
        <v>31.704999999999998</v>
      </c>
      <c r="W131">
        <v>13.285</v>
      </c>
      <c r="X131">
        <v>3.7210000000000001</v>
      </c>
      <c r="Y131">
        <v>0.49099999999999999</v>
      </c>
    </row>
    <row r="132" spans="3:25" x14ac:dyDescent="0.25">
      <c r="C132" t="s">
        <v>272</v>
      </c>
      <c r="D132">
        <v>484</v>
      </c>
      <c r="E132">
        <v>10958.742</v>
      </c>
      <c r="F132">
        <v>11210.511</v>
      </c>
      <c r="G132">
        <v>11140.87</v>
      </c>
      <c r="H132">
        <v>11209.593000000001</v>
      </c>
      <c r="I132">
        <v>10939.819</v>
      </c>
      <c r="J132">
        <v>10795.773999999999</v>
      </c>
      <c r="K132">
        <v>9789.8799999999992</v>
      </c>
      <c r="L132">
        <v>9090.15</v>
      </c>
      <c r="M132">
        <v>8531.9639999999999</v>
      </c>
      <c r="N132">
        <v>8015.7939999999999</v>
      </c>
      <c r="O132">
        <v>6924.9170000000004</v>
      </c>
      <c r="P132">
        <v>5833.0540000000001</v>
      </c>
      <c r="Q132">
        <v>4669.4539999999997</v>
      </c>
      <c r="R132">
        <v>3595.4989999999998</v>
      </c>
      <c r="S132">
        <v>2466.7069999999999</v>
      </c>
      <c r="T132">
        <v>1722.0060000000001</v>
      </c>
      <c r="U132">
        <v>1058.5039999999999</v>
      </c>
      <c r="V132">
        <v>609.98400000000004</v>
      </c>
      <c r="W132">
        <v>275.13200000000001</v>
      </c>
      <c r="X132">
        <v>81.436999999999998</v>
      </c>
      <c r="Y132">
        <v>12.962</v>
      </c>
    </row>
    <row r="133" spans="3:25" x14ac:dyDescent="0.25">
      <c r="C133" t="s">
        <v>282</v>
      </c>
      <c r="D133">
        <v>558</v>
      </c>
      <c r="E133">
        <v>656.94200000000001</v>
      </c>
      <c r="F133">
        <v>660.20399999999995</v>
      </c>
      <c r="G133">
        <v>637.14</v>
      </c>
      <c r="H133">
        <v>603.02099999999996</v>
      </c>
      <c r="I133">
        <v>584.71</v>
      </c>
      <c r="J133">
        <v>581.29</v>
      </c>
      <c r="K133">
        <v>549.05899999999997</v>
      </c>
      <c r="L133">
        <v>506.39299999999997</v>
      </c>
      <c r="M133">
        <v>421.19499999999999</v>
      </c>
      <c r="N133">
        <v>341.84199999999998</v>
      </c>
      <c r="O133">
        <v>273.90100000000001</v>
      </c>
      <c r="P133">
        <v>233.41900000000001</v>
      </c>
      <c r="Q133">
        <v>199.33</v>
      </c>
      <c r="R133">
        <v>149.422</v>
      </c>
      <c r="S133">
        <v>83.411000000000001</v>
      </c>
      <c r="T133">
        <v>67.090999999999994</v>
      </c>
      <c r="U133">
        <v>42.805999999999997</v>
      </c>
      <c r="V133">
        <v>21.954999999999998</v>
      </c>
      <c r="W133">
        <v>8.657</v>
      </c>
      <c r="X133">
        <v>2.3519999999999999</v>
      </c>
      <c r="Y133">
        <v>0.41399999999999998</v>
      </c>
    </row>
    <row r="134" spans="3:25" x14ac:dyDescent="0.25">
      <c r="C134" t="s">
        <v>287</v>
      </c>
      <c r="D134">
        <v>591</v>
      </c>
      <c r="E134">
        <v>389.31299999999999</v>
      </c>
      <c r="F134">
        <v>384.46600000000001</v>
      </c>
      <c r="G134">
        <v>369.411</v>
      </c>
      <c r="H134">
        <v>357.19799999999998</v>
      </c>
      <c r="I134">
        <v>349.06299999999999</v>
      </c>
      <c r="J134">
        <v>329.19200000000001</v>
      </c>
      <c r="K134">
        <v>317.13099999999997</v>
      </c>
      <c r="L134">
        <v>301.464</v>
      </c>
      <c r="M134">
        <v>288.12400000000002</v>
      </c>
      <c r="N134">
        <v>268.27100000000002</v>
      </c>
      <c r="O134">
        <v>234.64400000000001</v>
      </c>
      <c r="P134">
        <v>198.33500000000001</v>
      </c>
      <c r="Q134">
        <v>159.727</v>
      </c>
      <c r="R134">
        <v>122.905</v>
      </c>
      <c r="S134">
        <v>91.619</v>
      </c>
      <c r="T134">
        <v>66.188999999999993</v>
      </c>
      <c r="U134">
        <v>44.015999999999998</v>
      </c>
      <c r="V134">
        <v>25.731999999999999</v>
      </c>
      <c r="W134">
        <v>12.41</v>
      </c>
      <c r="X134">
        <v>4.4530000000000003</v>
      </c>
      <c r="Y134">
        <v>1.105</v>
      </c>
    </row>
    <row r="135" spans="3:25" x14ac:dyDescent="0.25">
      <c r="C135" t="s">
        <v>195</v>
      </c>
      <c r="D135">
        <v>32</v>
      </c>
      <c r="E135">
        <v>3736.6509999999998</v>
      </c>
      <c r="F135">
        <v>3709.817</v>
      </c>
      <c r="G135">
        <v>3597.2620000000002</v>
      </c>
      <c r="H135">
        <v>3539.4490000000001</v>
      </c>
      <c r="I135">
        <v>3477.335</v>
      </c>
      <c r="J135">
        <v>3520.2489999999998</v>
      </c>
      <c r="K135">
        <v>3318.98</v>
      </c>
      <c r="L135">
        <v>3122.4319999999998</v>
      </c>
      <c r="M135">
        <v>3089.9009999999998</v>
      </c>
      <c r="N135">
        <v>2637.8429999999998</v>
      </c>
      <c r="O135">
        <v>2301.7310000000002</v>
      </c>
      <c r="P135">
        <v>2123.2089999999998</v>
      </c>
      <c r="Q135">
        <v>1883.7329999999999</v>
      </c>
      <c r="R135">
        <v>1645.009</v>
      </c>
      <c r="S135">
        <v>1337.223</v>
      </c>
      <c r="T135">
        <v>963.41399999999999</v>
      </c>
      <c r="U135">
        <v>634.68399999999997</v>
      </c>
      <c r="V135">
        <v>364.685</v>
      </c>
      <c r="W135">
        <v>152.346</v>
      </c>
      <c r="X135">
        <v>35.706000000000003</v>
      </c>
      <c r="Y135">
        <v>4.1180000000000003</v>
      </c>
    </row>
    <row r="136" spans="3:25" x14ac:dyDescent="0.25">
      <c r="C136" t="s">
        <v>398</v>
      </c>
      <c r="D136">
        <v>68</v>
      </c>
      <c r="E136">
        <v>1185.499</v>
      </c>
      <c r="F136">
        <v>1179.088</v>
      </c>
      <c r="G136">
        <v>1161.0119999999999</v>
      </c>
      <c r="H136">
        <v>1136.684</v>
      </c>
      <c r="I136">
        <v>1065.1890000000001</v>
      </c>
      <c r="J136">
        <v>974.34500000000003</v>
      </c>
      <c r="K136">
        <v>870.94500000000005</v>
      </c>
      <c r="L136">
        <v>768.154</v>
      </c>
      <c r="M136">
        <v>667.88499999999999</v>
      </c>
      <c r="N136">
        <v>570.45799999999997</v>
      </c>
      <c r="O136">
        <v>480.56200000000001</v>
      </c>
      <c r="P136">
        <v>403.03</v>
      </c>
      <c r="Q136">
        <v>336.19099999999997</v>
      </c>
      <c r="R136">
        <v>279.12700000000001</v>
      </c>
      <c r="S136">
        <v>225.44</v>
      </c>
      <c r="T136">
        <v>166.501</v>
      </c>
      <c r="U136">
        <v>106.90600000000001</v>
      </c>
      <c r="V136">
        <v>60.027000000000001</v>
      </c>
      <c r="W136">
        <v>26.533000000000001</v>
      </c>
      <c r="X136">
        <v>7.9409999999999998</v>
      </c>
      <c r="Y136">
        <v>1.512</v>
      </c>
    </row>
    <row r="137" spans="3:25" x14ac:dyDescent="0.25">
      <c r="C137" t="s">
        <v>210</v>
      </c>
      <c r="D137">
        <v>76</v>
      </c>
      <c r="E137">
        <v>14475.093000000001</v>
      </c>
      <c r="F137">
        <v>14601.816999999999</v>
      </c>
      <c r="G137">
        <v>14942.441999999999</v>
      </c>
      <c r="H137">
        <v>16218.004000000001</v>
      </c>
      <c r="I137">
        <v>17152.048999999999</v>
      </c>
      <c r="J137">
        <v>16952.594000000001</v>
      </c>
      <c r="K137">
        <v>17147.906999999999</v>
      </c>
      <c r="L137">
        <v>17328.855</v>
      </c>
      <c r="M137">
        <v>15661.313</v>
      </c>
      <c r="N137">
        <v>13800.692999999999</v>
      </c>
      <c r="O137">
        <v>12822.932000000001</v>
      </c>
      <c r="P137">
        <v>11598.27</v>
      </c>
      <c r="Q137">
        <v>9468.1589999999997</v>
      </c>
      <c r="R137">
        <v>7428.7030000000004</v>
      </c>
      <c r="S137">
        <v>5309.4189999999999</v>
      </c>
      <c r="T137">
        <v>3492.1320000000001</v>
      </c>
      <c r="U137">
        <v>2317.2080000000001</v>
      </c>
      <c r="V137">
        <v>1175.24</v>
      </c>
      <c r="W137">
        <v>510.827</v>
      </c>
      <c r="X137">
        <v>134.602</v>
      </c>
      <c r="Y137">
        <v>21.15</v>
      </c>
    </row>
    <row r="138" spans="3:25" x14ac:dyDescent="0.25">
      <c r="C138" t="s">
        <v>218</v>
      </c>
      <c r="D138">
        <v>152</v>
      </c>
      <c r="E138">
        <v>1162.223</v>
      </c>
      <c r="F138">
        <v>1265.856</v>
      </c>
      <c r="G138">
        <v>1249.6369999999999</v>
      </c>
      <c r="H138">
        <v>1244.242</v>
      </c>
      <c r="I138">
        <v>1402.9090000000001</v>
      </c>
      <c r="J138">
        <v>1592.6289999999999</v>
      </c>
      <c r="K138">
        <v>1545.8209999999999</v>
      </c>
      <c r="L138">
        <v>1399.5830000000001</v>
      </c>
      <c r="M138">
        <v>1324.096</v>
      </c>
      <c r="N138">
        <v>1254.308</v>
      </c>
      <c r="O138">
        <v>1214.595</v>
      </c>
      <c r="P138">
        <v>1137.6759999999999</v>
      </c>
      <c r="Q138">
        <v>982.29899999999998</v>
      </c>
      <c r="R138">
        <v>809.48800000000006</v>
      </c>
      <c r="S138">
        <v>581.29899999999998</v>
      </c>
      <c r="T138">
        <v>411.827</v>
      </c>
      <c r="U138">
        <v>274.26</v>
      </c>
      <c r="V138">
        <v>162.14599999999999</v>
      </c>
      <c r="W138">
        <v>77.227999999999994</v>
      </c>
      <c r="X138">
        <v>20.356000000000002</v>
      </c>
      <c r="Y138">
        <v>3.7309999999999999</v>
      </c>
    </row>
    <row r="139" spans="3:25" x14ac:dyDescent="0.25">
      <c r="C139" t="s">
        <v>220</v>
      </c>
      <c r="D139">
        <v>170</v>
      </c>
      <c r="E139">
        <v>3710.6990000000001</v>
      </c>
      <c r="F139">
        <v>3703.4560000000001</v>
      </c>
      <c r="G139">
        <v>3873.4850000000001</v>
      </c>
      <c r="H139">
        <v>4246.3909999999996</v>
      </c>
      <c r="I139">
        <v>4421.4660000000003</v>
      </c>
      <c r="J139">
        <v>4425.5950000000003</v>
      </c>
      <c r="K139">
        <v>4056.8069999999998</v>
      </c>
      <c r="L139">
        <v>3753.4920000000002</v>
      </c>
      <c r="M139">
        <v>3421.069</v>
      </c>
      <c r="N139">
        <v>3029.7179999999998</v>
      </c>
      <c r="O139">
        <v>2908.4650000000001</v>
      </c>
      <c r="P139">
        <v>2635.5149999999999</v>
      </c>
      <c r="Q139">
        <v>2086.4499999999998</v>
      </c>
      <c r="R139">
        <v>1684.9079999999999</v>
      </c>
      <c r="S139">
        <v>1187.636</v>
      </c>
      <c r="T139">
        <v>792.125</v>
      </c>
      <c r="U139">
        <v>516.26900000000001</v>
      </c>
      <c r="V139">
        <v>278.541</v>
      </c>
      <c r="W139">
        <v>115.655</v>
      </c>
      <c r="X139">
        <v>31.138999999999999</v>
      </c>
      <c r="Y139">
        <v>4.0030000000000001</v>
      </c>
    </row>
    <row r="140" spans="3:25" x14ac:dyDescent="0.25">
      <c r="C140" t="s">
        <v>227</v>
      </c>
      <c r="D140">
        <v>218</v>
      </c>
      <c r="E140">
        <v>1667.087</v>
      </c>
      <c r="F140">
        <v>1610.643</v>
      </c>
      <c r="G140">
        <v>1555.0450000000001</v>
      </c>
      <c r="H140">
        <v>1560.94</v>
      </c>
      <c r="I140">
        <v>1566.5340000000001</v>
      </c>
      <c r="J140">
        <v>1469.654</v>
      </c>
      <c r="K140">
        <v>1363.153</v>
      </c>
      <c r="L140">
        <v>1229.6859999999999</v>
      </c>
      <c r="M140">
        <v>1099.0160000000001</v>
      </c>
      <c r="N140">
        <v>989.22400000000005</v>
      </c>
      <c r="O140">
        <v>864.30399999999997</v>
      </c>
      <c r="P140">
        <v>726.83500000000004</v>
      </c>
      <c r="Q140">
        <v>601.63400000000001</v>
      </c>
      <c r="R140">
        <v>486.10399999999998</v>
      </c>
      <c r="S140">
        <v>328.07</v>
      </c>
      <c r="T140">
        <v>242.054</v>
      </c>
      <c r="U140">
        <v>152.26</v>
      </c>
      <c r="V140">
        <v>82.385000000000005</v>
      </c>
      <c r="W140">
        <v>35.076999999999998</v>
      </c>
      <c r="X140">
        <v>10.846</v>
      </c>
      <c r="Y140">
        <v>2.5089999999999999</v>
      </c>
    </row>
    <row r="141" spans="3:25" x14ac:dyDescent="0.25">
      <c r="C141" t="s">
        <v>399</v>
      </c>
      <c r="D141">
        <v>254</v>
      </c>
      <c r="E141">
        <v>35.621000000000002</v>
      </c>
      <c r="F141">
        <v>30.5</v>
      </c>
      <c r="G141">
        <v>28.954999999999998</v>
      </c>
      <c r="H141">
        <v>28.597999999999999</v>
      </c>
      <c r="I141">
        <v>25.329000000000001</v>
      </c>
      <c r="J141">
        <v>20.78</v>
      </c>
      <c r="K141">
        <v>18.573</v>
      </c>
      <c r="L141">
        <v>20.146000000000001</v>
      </c>
      <c r="M141">
        <v>19.498999999999999</v>
      </c>
      <c r="N141">
        <v>17.491</v>
      </c>
      <c r="O141">
        <v>14.917999999999999</v>
      </c>
      <c r="P141">
        <v>11.792999999999999</v>
      </c>
      <c r="Q141">
        <v>9.8529999999999998</v>
      </c>
      <c r="R141">
        <v>7.3730000000000002</v>
      </c>
      <c r="S141">
        <v>4.3769999999999998</v>
      </c>
      <c r="T141">
        <v>2.8450000000000002</v>
      </c>
      <c r="U141">
        <v>1.196</v>
      </c>
      <c r="V141">
        <v>0.50600000000000001</v>
      </c>
      <c r="W141">
        <v>0.24099999999999999</v>
      </c>
      <c r="X141">
        <v>7.5999999999999998E-2</v>
      </c>
      <c r="Y141">
        <v>1.2E-2</v>
      </c>
    </row>
    <row r="142" spans="3:25" x14ac:dyDescent="0.25">
      <c r="C142" t="s">
        <v>241</v>
      </c>
      <c r="D142">
        <v>328</v>
      </c>
      <c r="E142">
        <v>73.864000000000004</v>
      </c>
      <c r="F142">
        <v>73.763999999999996</v>
      </c>
      <c r="G142">
        <v>70.498999999999995</v>
      </c>
      <c r="H142">
        <v>74.852000000000004</v>
      </c>
      <c r="I142">
        <v>77.394999999999996</v>
      </c>
      <c r="J142">
        <v>67.911000000000001</v>
      </c>
      <c r="K142">
        <v>44.033999999999999</v>
      </c>
      <c r="L142">
        <v>49.075000000000003</v>
      </c>
      <c r="M142">
        <v>45.3</v>
      </c>
      <c r="N142">
        <v>45.225000000000001</v>
      </c>
      <c r="O142">
        <v>42.774000000000001</v>
      </c>
      <c r="P142">
        <v>36.563000000000002</v>
      </c>
      <c r="Q142">
        <v>30.245000000000001</v>
      </c>
      <c r="R142">
        <v>21.111000000000001</v>
      </c>
      <c r="S142">
        <v>15.023999999999999</v>
      </c>
      <c r="T142">
        <v>7.9160000000000004</v>
      </c>
      <c r="U142">
        <v>6.7679999999999998</v>
      </c>
      <c r="V142">
        <v>2.1779999999999999</v>
      </c>
      <c r="W142">
        <v>1.268</v>
      </c>
      <c r="X142">
        <v>0.66300000000000003</v>
      </c>
      <c r="Y142">
        <v>0.13</v>
      </c>
    </row>
    <row r="143" spans="3:25" x14ac:dyDescent="0.25">
      <c r="C143" t="s">
        <v>288</v>
      </c>
      <c r="D143">
        <v>600</v>
      </c>
      <c r="E143">
        <v>701.09199999999998</v>
      </c>
      <c r="F143">
        <v>682.81899999999996</v>
      </c>
      <c r="G143">
        <v>676.92600000000004</v>
      </c>
      <c r="H143">
        <v>659.35199999999998</v>
      </c>
      <c r="I143">
        <v>677.78800000000001</v>
      </c>
      <c r="J143">
        <v>643.255</v>
      </c>
      <c r="K143">
        <v>595.06799999999998</v>
      </c>
      <c r="L143">
        <v>514.05799999999999</v>
      </c>
      <c r="M143">
        <v>406.93400000000003</v>
      </c>
      <c r="N143">
        <v>320.70400000000001</v>
      </c>
      <c r="O143">
        <v>290.815</v>
      </c>
      <c r="P143">
        <v>257.54899999999998</v>
      </c>
      <c r="Q143">
        <v>220.376</v>
      </c>
      <c r="R143">
        <v>181.786</v>
      </c>
      <c r="S143">
        <v>127.51</v>
      </c>
      <c r="T143">
        <v>86.215000000000003</v>
      </c>
      <c r="U143">
        <v>53.863</v>
      </c>
      <c r="V143">
        <v>24.196999999999999</v>
      </c>
      <c r="W143">
        <v>9.67</v>
      </c>
      <c r="X143">
        <v>2.2320000000000002</v>
      </c>
      <c r="Y143">
        <v>0.32100000000000001</v>
      </c>
    </row>
    <row r="144" spans="3:25" x14ac:dyDescent="0.25">
      <c r="C144" t="s">
        <v>289</v>
      </c>
      <c r="D144">
        <v>604</v>
      </c>
      <c r="E144">
        <v>2833.2649999999999</v>
      </c>
      <c r="F144">
        <v>2612.1350000000002</v>
      </c>
      <c r="G144">
        <v>2696.0549999999998</v>
      </c>
      <c r="H144">
        <v>2438.549</v>
      </c>
      <c r="I144">
        <v>2608.0929999999998</v>
      </c>
      <c r="J144">
        <v>2767.692</v>
      </c>
      <c r="K144">
        <v>2693.3789999999999</v>
      </c>
      <c r="L144">
        <v>2537.7829999999999</v>
      </c>
      <c r="M144">
        <v>2300.83</v>
      </c>
      <c r="N144">
        <v>2045.8340000000001</v>
      </c>
      <c r="O144">
        <v>1792.13</v>
      </c>
      <c r="P144">
        <v>1521.749</v>
      </c>
      <c r="Q144">
        <v>1247.472</v>
      </c>
      <c r="R144">
        <v>1029.1669999999999</v>
      </c>
      <c r="S144">
        <v>732.07899999999995</v>
      </c>
      <c r="T144">
        <v>523.33000000000004</v>
      </c>
      <c r="U144">
        <v>345.37599999999998</v>
      </c>
      <c r="V144">
        <v>174.54599999999999</v>
      </c>
      <c r="W144">
        <v>58.588999999999999</v>
      </c>
      <c r="X144">
        <v>12.307</v>
      </c>
      <c r="Y144">
        <v>1.486</v>
      </c>
    </row>
    <row r="145" spans="3:25" x14ac:dyDescent="0.25">
      <c r="C145" t="s">
        <v>312</v>
      </c>
      <c r="D145">
        <v>740</v>
      </c>
      <c r="E145">
        <v>52.186</v>
      </c>
      <c r="F145">
        <v>52.645000000000003</v>
      </c>
      <c r="G145">
        <v>51.594000000000001</v>
      </c>
      <c r="H145">
        <v>50.637</v>
      </c>
      <c r="I145">
        <v>48.735999999999997</v>
      </c>
      <c r="J145">
        <v>47.036000000000001</v>
      </c>
      <c r="K145">
        <v>42.969000000000001</v>
      </c>
      <c r="L145">
        <v>39.817</v>
      </c>
      <c r="M145">
        <v>35.203000000000003</v>
      </c>
      <c r="N145">
        <v>37.521000000000001</v>
      </c>
      <c r="O145">
        <v>32.863</v>
      </c>
      <c r="P145">
        <v>31.965</v>
      </c>
      <c r="Q145">
        <v>21.600999999999999</v>
      </c>
      <c r="R145">
        <v>15.327</v>
      </c>
      <c r="S145">
        <v>11.343</v>
      </c>
      <c r="T145">
        <v>7.3419999999999996</v>
      </c>
      <c r="U145">
        <v>4.7110000000000003</v>
      </c>
      <c r="V145">
        <v>2.1779999999999999</v>
      </c>
      <c r="W145">
        <v>0.77100000000000002</v>
      </c>
      <c r="X145">
        <v>0.16600000000000001</v>
      </c>
      <c r="Y145">
        <v>2.3E-2</v>
      </c>
    </row>
    <row r="146" spans="3:25" x14ac:dyDescent="0.25">
      <c r="C146" t="s">
        <v>327</v>
      </c>
      <c r="D146">
        <v>858</v>
      </c>
      <c r="E146">
        <v>236.65600000000001</v>
      </c>
      <c r="F146">
        <v>236.41399999999999</v>
      </c>
      <c r="G146">
        <v>233.31399999999999</v>
      </c>
      <c r="H146">
        <v>245.61500000000001</v>
      </c>
      <c r="I146">
        <v>254.065</v>
      </c>
      <c r="J146">
        <v>257.495</v>
      </c>
      <c r="K146">
        <v>239.61600000000001</v>
      </c>
      <c r="L146">
        <v>221.53</v>
      </c>
      <c r="M146">
        <v>234.364</v>
      </c>
      <c r="N146">
        <v>220.65600000000001</v>
      </c>
      <c r="O146">
        <v>196.34100000000001</v>
      </c>
      <c r="P146">
        <v>194.73599999999999</v>
      </c>
      <c r="Q146">
        <v>178.82400000000001</v>
      </c>
      <c r="R146">
        <v>149.09700000000001</v>
      </c>
      <c r="S146">
        <v>123.81100000000001</v>
      </c>
      <c r="T146">
        <v>96.454999999999998</v>
      </c>
      <c r="U146">
        <v>70.331000000000003</v>
      </c>
      <c r="V146">
        <v>48.222999999999999</v>
      </c>
      <c r="W146">
        <v>25.231999999999999</v>
      </c>
      <c r="X146">
        <v>8.8089999999999993</v>
      </c>
      <c r="Y146">
        <v>2.1429999999999998</v>
      </c>
    </row>
    <row r="147" spans="3:25" x14ac:dyDescent="0.25">
      <c r="C147" t="s">
        <v>400</v>
      </c>
      <c r="D147">
        <v>862</v>
      </c>
      <c r="E147">
        <v>2363.4090000000001</v>
      </c>
      <c r="F147">
        <v>2731.19</v>
      </c>
      <c r="G147">
        <v>2657.7959999999998</v>
      </c>
      <c r="H147">
        <v>2500.7719999999999</v>
      </c>
      <c r="I147">
        <v>2101.6280000000002</v>
      </c>
      <c r="J147">
        <v>2028.711</v>
      </c>
      <c r="K147">
        <v>2064.3240000000001</v>
      </c>
      <c r="L147">
        <v>1963.597</v>
      </c>
      <c r="M147">
        <v>1867.72</v>
      </c>
      <c r="N147">
        <v>1697.2539999999999</v>
      </c>
      <c r="O147">
        <v>1599.8309999999999</v>
      </c>
      <c r="P147">
        <v>1415.152</v>
      </c>
      <c r="Q147">
        <v>1177.441</v>
      </c>
      <c r="R147">
        <v>865.11400000000003</v>
      </c>
      <c r="S147">
        <v>603.58100000000002</v>
      </c>
      <c r="T147">
        <v>386.279</v>
      </c>
      <c r="U147">
        <v>226.565</v>
      </c>
      <c r="V147">
        <v>118.75</v>
      </c>
      <c r="W147">
        <v>49.076000000000001</v>
      </c>
      <c r="X147">
        <v>14.875</v>
      </c>
      <c r="Y147">
        <v>2.8780000000000001</v>
      </c>
    </row>
    <row r="148" spans="3:25" x14ac:dyDescent="0.25">
      <c r="C148" t="s">
        <v>197</v>
      </c>
      <c r="D148">
        <v>36</v>
      </c>
      <c r="E148">
        <v>1669.7070000000001</v>
      </c>
      <c r="F148">
        <v>1639.2670000000001</v>
      </c>
      <c r="G148">
        <v>1610.5740000000001</v>
      </c>
      <c r="H148">
        <v>1519.9059999999999</v>
      </c>
      <c r="I148">
        <v>1594.568</v>
      </c>
      <c r="J148">
        <v>1780.886</v>
      </c>
      <c r="K148">
        <v>1875.461</v>
      </c>
      <c r="L148">
        <v>1842.883</v>
      </c>
      <c r="M148">
        <v>1628.711</v>
      </c>
      <c r="N148">
        <v>1677.3489999999999</v>
      </c>
      <c r="O148">
        <v>1558.3240000000001</v>
      </c>
      <c r="P148">
        <v>1549.4110000000001</v>
      </c>
      <c r="Q148">
        <v>1418.5260000000001</v>
      </c>
      <c r="R148">
        <v>1232.6610000000001</v>
      </c>
      <c r="S148">
        <v>1083.3789999999999</v>
      </c>
      <c r="T148">
        <v>762.99699999999996</v>
      </c>
      <c r="U148">
        <v>522.94500000000005</v>
      </c>
      <c r="V148">
        <v>329.05</v>
      </c>
      <c r="W148">
        <v>156.55699999999999</v>
      </c>
      <c r="X148">
        <v>42.381999999999998</v>
      </c>
      <c r="Y148">
        <v>4.3369999999999997</v>
      </c>
    </row>
    <row r="149" spans="3:25" x14ac:dyDescent="0.25">
      <c r="C149" t="s">
        <v>281</v>
      </c>
      <c r="D149">
        <v>554</v>
      </c>
      <c r="E149">
        <v>301.25599999999997</v>
      </c>
      <c r="F149">
        <v>314.02800000000002</v>
      </c>
      <c r="G149">
        <v>321.70699999999999</v>
      </c>
      <c r="H149">
        <v>303.24599999999998</v>
      </c>
      <c r="I149">
        <v>324.47699999999998</v>
      </c>
      <c r="J149">
        <v>346.75799999999998</v>
      </c>
      <c r="K149">
        <v>324.44400000000002</v>
      </c>
      <c r="L149">
        <v>294.62200000000001</v>
      </c>
      <c r="M149">
        <v>278.41500000000002</v>
      </c>
      <c r="N149">
        <v>313.459</v>
      </c>
      <c r="O149">
        <v>311.98099999999999</v>
      </c>
      <c r="P149">
        <v>316.70999999999998</v>
      </c>
      <c r="Q149">
        <v>281.81299999999999</v>
      </c>
      <c r="R149">
        <v>240.499</v>
      </c>
      <c r="S149">
        <v>213.60599999999999</v>
      </c>
      <c r="T149">
        <v>148.226</v>
      </c>
      <c r="U149">
        <v>97.32</v>
      </c>
      <c r="V149">
        <v>55.323</v>
      </c>
      <c r="W149">
        <v>27.178000000000001</v>
      </c>
      <c r="X149">
        <v>6.4729999999999999</v>
      </c>
      <c r="Y149">
        <v>0.69199999999999995</v>
      </c>
    </row>
    <row r="150" spans="3:25" x14ac:dyDescent="0.25">
      <c r="C150" t="s">
        <v>232</v>
      </c>
      <c r="D150">
        <v>242</v>
      </c>
      <c r="E150">
        <v>89.39</v>
      </c>
      <c r="F150">
        <v>87.75</v>
      </c>
      <c r="G150">
        <v>82.927000000000007</v>
      </c>
      <c r="H150">
        <v>75.207999999999998</v>
      </c>
      <c r="I150">
        <v>71.882999999999996</v>
      </c>
      <c r="J150">
        <v>70.061999999999998</v>
      </c>
      <c r="K150">
        <v>66.837000000000003</v>
      </c>
      <c r="L150">
        <v>68.117000000000004</v>
      </c>
      <c r="M150">
        <v>57.042000000000002</v>
      </c>
      <c r="N150">
        <v>49.481000000000002</v>
      </c>
      <c r="O150">
        <v>47.401000000000003</v>
      </c>
      <c r="P150">
        <v>44.036000000000001</v>
      </c>
      <c r="Q150">
        <v>34.159999999999997</v>
      </c>
      <c r="R150">
        <v>22.959</v>
      </c>
      <c r="S150">
        <v>15.417</v>
      </c>
      <c r="T150">
        <v>8.2159999999999993</v>
      </c>
      <c r="U150">
        <v>4.0510000000000002</v>
      </c>
      <c r="V150">
        <v>1.222</v>
      </c>
      <c r="W150">
        <v>0.25700000000000001</v>
      </c>
      <c r="X150">
        <v>2.5999999999999999E-2</v>
      </c>
      <c r="Y150">
        <v>2E-3</v>
      </c>
    </row>
    <row r="151" spans="3:25" x14ac:dyDescent="0.25">
      <c r="C151" t="s">
        <v>401</v>
      </c>
      <c r="D151">
        <v>540</v>
      </c>
      <c r="E151">
        <v>19.797999999999998</v>
      </c>
      <c r="F151">
        <v>21.515999999999998</v>
      </c>
      <c r="G151">
        <v>21.806999999999999</v>
      </c>
      <c r="H151">
        <v>21.396000000000001</v>
      </c>
      <c r="I151">
        <v>23.349</v>
      </c>
      <c r="J151">
        <v>19.843</v>
      </c>
      <c r="K151">
        <v>20.797000000000001</v>
      </c>
      <c r="L151">
        <v>20.693999999999999</v>
      </c>
      <c r="M151">
        <v>19.725999999999999</v>
      </c>
      <c r="N151">
        <v>21.097000000000001</v>
      </c>
      <c r="O151">
        <v>18.244</v>
      </c>
      <c r="P151">
        <v>16.707000000000001</v>
      </c>
      <c r="Q151">
        <v>12.832000000000001</v>
      </c>
      <c r="R151">
        <v>9.9629999999999992</v>
      </c>
      <c r="S151">
        <v>8.0939999999999994</v>
      </c>
      <c r="T151">
        <v>5.2089999999999996</v>
      </c>
      <c r="U151">
        <v>2.8279999999999998</v>
      </c>
      <c r="V151">
        <v>1.133</v>
      </c>
      <c r="W151">
        <v>0.379</v>
      </c>
      <c r="X151">
        <v>7.0000000000000007E-2</v>
      </c>
      <c r="Y151">
        <v>8.9999999999999993E-3</v>
      </c>
    </row>
    <row r="152" spans="3:25" x14ac:dyDescent="0.25">
      <c r="C152" t="s">
        <v>402</v>
      </c>
      <c r="D152">
        <v>598</v>
      </c>
      <c r="E152">
        <v>1107.184</v>
      </c>
      <c r="F152">
        <v>1043.164</v>
      </c>
      <c r="G152">
        <v>994.17399999999998</v>
      </c>
      <c r="H152">
        <v>923.70899999999995</v>
      </c>
      <c r="I152">
        <v>836.80899999999997</v>
      </c>
      <c r="J152">
        <v>717.375</v>
      </c>
      <c r="K152">
        <v>636.51099999999997</v>
      </c>
      <c r="L152">
        <v>584.02599999999995</v>
      </c>
      <c r="M152">
        <v>510.59100000000001</v>
      </c>
      <c r="N152">
        <v>427.79300000000001</v>
      </c>
      <c r="O152">
        <v>348.733</v>
      </c>
      <c r="P152">
        <v>280.38600000000002</v>
      </c>
      <c r="Q152">
        <v>217.02</v>
      </c>
      <c r="R152">
        <v>155.066</v>
      </c>
      <c r="S152">
        <v>89.796999999999997</v>
      </c>
      <c r="T152">
        <v>46.857999999999997</v>
      </c>
      <c r="U152">
        <v>20.257999999999999</v>
      </c>
      <c r="V152">
        <v>6.242</v>
      </c>
      <c r="W152">
        <v>1.244</v>
      </c>
      <c r="X152">
        <v>8.4000000000000005E-2</v>
      </c>
      <c r="Y152">
        <v>3.0000000000000001E-3</v>
      </c>
    </row>
    <row r="153" spans="3:25" x14ac:dyDescent="0.25">
      <c r="C153" t="s">
        <v>308</v>
      </c>
      <c r="D153">
        <v>90</v>
      </c>
      <c r="E153">
        <v>103.15600000000001</v>
      </c>
      <c r="F153">
        <v>93.013999999999996</v>
      </c>
      <c r="G153">
        <v>78.790999999999997</v>
      </c>
      <c r="H153">
        <v>70.034000000000006</v>
      </c>
      <c r="I153">
        <v>60.994999999999997</v>
      </c>
      <c r="J153">
        <v>50.835000000000001</v>
      </c>
      <c r="K153">
        <v>42.609000000000002</v>
      </c>
      <c r="L153">
        <v>39.441000000000003</v>
      </c>
      <c r="M153">
        <v>37.090000000000003</v>
      </c>
      <c r="N153">
        <v>31.58</v>
      </c>
      <c r="O153">
        <v>22.806000000000001</v>
      </c>
      <c r="P153">
        <v>17.888999999999999</v>
      </c>
      <c r="Q153">
        <v>13.425000000000001</v>
      </c>
      <c r="R153">
        <v>9.5530000000000008</v>
      </c>
      <c r="S153">
        <v>7.157</v>
      </c>
      <c r="T153">
        <v>4.8360000000000003</v>
      </c>
      <c r="U153">
        <v>2.2650000000000001</v>
      </c>
      <c r="V153">
        <v>1.083</v>
      </c>
      <c r="W153">
        <v>0.26800000000000002</v>
      </c>
      <c r="X153">
        <v>4.7E-2</v>
      </c>
      <c r="Y153">
        <v>4.0000000000000001E-3</v>
      </c>
    </row>
    <row r="154" spans="3:25" x14ac:dyDescent="0.25">
      <c r="C154" t="s">
        <v>329</v>
      </c>
      <c r="D154">
        <v>548</v>
      </c>
      <c r="E154">
        <v>42.08</v>
      </c>
      <c r="F154">
        <v>38.805</v>
      </c>
      <c r="G154">
        <v>37.091999999999999</v>
      </c>
      <c r="H154">
        <v>29.834</v>
      </c>
      <c r="I154">
        <v>25.908999999999999</v>
      </c>
      <c r="J154">
        <v>24.859000000000002</v>
      </c>
      <c r="K154">
        <v>22.997</v>
      </c>
      <c r="L154">
        <v>18.006</v>
      </c>
      <c r="M154">
        <v>16.116</v>
      </c>
      <c r="N154">
        <v>13.076000000000001</v>
      </c>
      <c r="O154">
        <v>11.561999999999999</v>
      </c>
      <c r="P154">
        <v>8.9830000000000005</v>
      </c>
      <c r="Q154">
        <v>6.75</v>
      </c>
      <c r="R154">
        <v>4.6870000000000003</v>
      </c>
      <c r="S154">
        <v>3.149</v>
      </c>
      <c r="T154">
        <v>1.6890000000000001</v>
      </c>
      <c r="U154">
        <v>1.2110000000000001</v>
      </c>
      <c r="V154">
        <v>0.29699999999999999</v>
      </c>
      <c r="W154">
        <v>4.3999999999999997E-2</v>
      </c>
      <c r="X154">
        <v>4.0000000000000001E-3</v>
      </c>
      <c r="Y154">
        <v>0</v>
      </c>
    </row>
    <row r="155" spans="3:25" x14ac:dyDescent="0.25">
      <c r="C155" t="s">
        <v>403</v>
      </c>
      <c r="D155">
        <v>316</v>
      </c>
      <c r="E155">
        <v>13.545</v>
      </c>
      <c r="F155">
        <v>13.435</v>
      </c>
      <c r="G155">
        <v>13.29</v>
      </c>
      <c r="H155">
        <v>13.871</v>
      </c>
      <c r="I155">
        <v>13.827</v>
      </c>
      <c r="J155">
        <v>13.204000000000001</v>
      </c>
      <c r="K155">
        <v>11.718</v>
      </c>
      <c r="L155">
        <v>10.117000000000001</v>
      </c>
      <c r="M155">
        <v>9.66</v>
      </c>
      <c r="N155">
        <v>10.276</v>
      </c>
      <c r="O155">
        <v>10.225</v>
      </c>
      <c r="P155">
        <v>9.9390000000000001</v>
      </c>
      <c r="Q155">
        <v>7.891</v>
      </c>
      <c r="R155">
        <v>6.44</v>
      </c>
      <c r="S155">
        <v>4.9530000000000003</v>
      </c>
      <c r="T155">
        <v>2.8279999999999998</v>
      </c>
      <c r="U155">
        <v>2.08</v>
      </c>
      <c r="V155">
        <v>1.071</v>
      </c>
      <c r="W155">
        <v>0.33100000000000002</v>
      </c>
      <c r="X155">
        <v>7.0999999999999994E-2</v>
      </c>
      <c r="Y155">
        <v>1.0999999999999999E-2</v>
      </c>
    </row>
    <row r="156" spans="3:25" x14ac:dyDescent="0.25">
      <c r="C156" t="s">
        <v>258</v>
      </c>
      <c r="D156">
        <v>296</v>
      </c>
      <c r="E156">
        <v>15.16</v>
      </c>
      <c r="F156">
        <v>14.303000000000001</v>
      </c>
      <c r="G156">
        <v>13.438000000000001</v>
      </c>
      <c r="H156">
        <v>10.194000000000001</v>
      </c>
      <c r="I156">
        <v>10.897</v>
      </c>
      <c r="J156">
        <v>9.6270000000000007</v>
      </c>
      <c r="K156">
        <v>9.0609999999999999</v>
      </c>
      <c r="L156">
        <v>7.5430000000000001</v>
      </c>
      <c r="M156">
        <v>6.24</v>
      </c>
      <c r="N156">
        <v>4.9329999999999998</v>
      </c>
      <c r="O156">
        <v>5.4320000000000004</v>
      </c>
      <c r="P156">
        <v>4.556</v>
      </c>
      <c r="Q156">
        <v>3.028</v>
      </c>
      <c r="R156">
        <v>2.113</v>
      </c>
      <c r="S156">
        <v>1.462</v>
      </c>
      <c r="T156">
        <v>0.86799999999999999</v>
      </c>
      <c r="U156">
        <v>0.373</v>
      </c>
      <c r="V156">
        <v>0.14799999999999999</v>
      </c>
      <c r="W156">
        <v>5.6000000000000001E-2</v>
      </c>
      <c r="X156">
        <v>1.2E-2</v>
      </c>
      <c r="Y156">
        <v>2E-3</v>
      </c>
    </row>
    <row r="157" spans="3:25" x14ac:dyDescent="0.25">
      <c r="C157" t="s">
        <v>404</v>
      </c>
      <c r="D157">
        <v>583</v>
      </c>
      <c r="E157">
        <v>12.265000000000001</v>
      </c>
      <c r="F157">
        <v>11.782999999999999</v>
      </c>
      <c r="G157">
        <v>11.829000000000001</v>
      </c>
      <c r="H157">
        <v>11.47</v>
      </c>
      <c r="I157">
        <v>11.648</v>
      </c>
      <c r="J157">
        <v>10.7</v>
      </c>
      <c r="K157">
        <v>8.2629999999999999</v>
      </c>
      <c r="L157">
        <v>6.8250000000000002</v>
      </c>
      <c r="M157">
        <v>5.9779999999999998</v>
      </c>
      <c r="N157">
        <v>5.4509999999999996</v>
      </c>
      <c r="O157">
        <v>5.1109999999999998</v>
      </c>
      <c r="P157">
        <v>4.6740000000000004</v>
      </c>
      <c r="Q157">
        <v>3.9740000000000002</v>
      </c>
      <c r="R157">
        <v>2.758</v>
      </c>
      <c r="S157">
        <v>1.403</v>
      </c>
      <c r="T157">
        <v>0.52600000000000002</v>
      </c>
      <c r="U157">
        <v>0.253</v>
      </c>
      <c r="V157">
        <v>0.09</v>
      </c>
      <c r="W157">
        <v>1.7999999999999999E-2</v>
      </c>
      <c r="X157">
        <v>2E-3</v>
      </c>
      <c r="Y157">
        <v>0</v>
      </c>
    </row>
    <row r="158" spans="3:25" x14ac:dyDescent="0.25">
      <c r="C158" t="s">
        <v>405</v>
      </c>
      <c r="D158">
        <v>258</v>
      </c>
      <c r="E158">
        <v>20.091999999999999</v>
      </c>
      <c r="F158">
        <v>19.542000000000002</v>
      </c>
      <c r="G158">
        <v>22.79</v>
      </c>
      <c r="H158">
        <v>21.344000000000001</v>
      </c>
      <c r="I158">
        <v>21.457999999999998</v>
      </c>
      <c r="J158">
        <v>18.922000000000001</v>
      </c>
      <c r="K158">
        <v>22.667000000000002</v>
      </c>
      <c r="L158">
        <v>20.7</v>
      </c>
      <c r="M158">
        <v>18.914000000000001</v>
      </c>
      <c r="N158">
        <v>20.673999999999999</v>
      </c>
      <c r="O158">
        <v>18.952000000000002</v>
      </c>
      <c r="P158">
        <v>16.696999999999999</v>
      </c>
      <c r="Q158">
        <v>12.68</v>
      </c>
      <c r="R158">
        <v>10.362</v>
      </c>
      <c r="S158">
        <v>5.8810000000000002</v>
      </c>
      <c r="T158">
        <v>4.9420000000000002</v>
      </c>
      <c r="U158">
        <v>2.4529999999999998</v>
      </c>
      <c r="V158">
        <v>1.393</v>
      </c>
      <c r="W158">
        <v>0.35599999999999998</v>
      </c>
      <c r="X158">
        <v>7.6999999999999999E-2</v>
      </c>
      <c r="Y158">
        <v>8.0000000000000002E-3</v>
      </c>
    </row>
    <row r="159" spans="3:25" x14ac:dyDescent="0.25">
      <c r="C159" t="s">
        <v>299</v>
      </c>
      <c r="D159">
        <v>882</v>
      </c>
      <c r="E159">
        <v>26.99</v>
      </c>
      <c r="F159">
        <v>24.132999999999999</v>
      </c>
      <c r="G159">
        <v>22.684000000000001</v>
      </c>
      <c r="H159">
        <v>19.314</v>
      </c>
      <c r="I159">
        <v>16.571999999999999</v>
      </c>
      <c r="J159">
        <v>14.723000000000001</v>
      </c>
      <c r="K159">
        <v>11.657</v>
      </c>
      <c r="L159">
        <v>10.355</v>
      </c>
      <c r="M159">
        <v>9.8810000000000002</v>
      </c>
      <c r="N159">
        <v>9.6790000000000003</v>
      </c>
      <c r="O159">
        <v>8.9670000000000005</v>
      </c>
      <c r="P159">
        <v>7.5030000000000001</v>
      </c>
      <c r="Q159">
        <v>5.8650000000000002</v>
      </c>
      <c r="R159">
        <v>4.0949999999999998</v>
      </c>
      <c r="S159">
        <v>2.742</v>
      </c>
      <c r="T159">
        <v>1.8380000000000001</v>
      </c>
      <c r="U159">
        <v>0.93799999999999994</v>
      </c>
      <c r="V159">
        <v>0.34</v>
      </c>
      <c r="W159">
        <v>0.122</v>
      </c>
      <c r="X159">
        <v>1.2E-2</v>
      </c>
      <c r="Y159">
        <v>0</v>
      </c>
    </row>
    <row r="160" spans="3:25" x14ac:dyDescent="0.25">
      <c r="C160" t="s">
        <v>319</v>
      </c>
      <c r="D160">
        <v>776</v>
      </c>
      <c r="E160">
        <v>12.201000000000001</v>
      </c>
      <c r="F160">
        <v>12.438000000000001</v>
      </c>
      <c r="G160">
        <v>12.103</v>
      </c>
      <c r="H160">
        <v>11.419</v>
      </c>
      <c r="I160">
        <v>9.6980000000000004</v>
      </c>
      <c r="J160">
        <v>7.4420000000000002</v>
      </c>
      <c r="K160">
        <v>6.11</v>
      </c>
      <c r="L160">
        <v>6.0730000000000004</v>
      </c>
      <c r="M160">
        <v>5.3259999999999996</v>
      </c>
      <c r="N160">
        <v>4.9640000000000004</v>
      </c>
      <c r="O160">
        <v>4.8559999999999999</v>
      </c>
      <c r="P160">
        <v>3.8450000000000002</v>
      </c>
      <c r="Q160">
        <v>2.9630000000000001</v>
      </c>
      <c r="R160">
        <v>2.34</v>
      </c>
      <c r="S160">
        <v>1.645</v>
      </c>
      <c r="T160">
        <v>1.1459999999999999</v>
      </c>
      <c r="U160">
        <v>0.71799999999999997</v>
      </c>
      <c r="V160">
        <v>0.308</v>
      </c>
      <c r="W160">
        <v>9.1999999999999998E-2</v>
      </c>
      <c r="X160">
        <v>0.01</v>
      </c>
      <c r="Y160">
        <v>0</v>
      </c>
    </row>
    <row r="161" spans="3:25" x14ac:dyDescent="0.25">
      <c r="C161" t="s">
        <v>203</v>
      </c>
      <c r="D161">
        <v>112</v>
      </c>
      <c r="E161">
        <v>548.12099999999998</v>
      </c>
      <c r="F161">
        <v>595.71900000000005</v>
      </c>
      <c r="G161">
        <v>485.25599999999997</v>
      </c>
      <c r="H161">
        <v>443.62700000000001</v>
      </c>
      <c r="I161">
        <v>425.47199999999998</v>
      </c>
      <c r="J161">
        <v>652.33000000000004</v>
      </c>
      <c r="K161">
        <v>814.01499999999999</v>
      </c>
      <c r="L161">
        <v>716.33299999999997</v>
      </c>
      <c r="M161">
        <v>652.63099999999997</v>
      </c>
      <c r="N161">
        <v>632.77</v>
      </c>
      <c r="O161">
        <v>592.26</v>
      </c>
      <c r="P161">
        <v>753.53099999999995</v>
      </c>
      <c r="Q161">
        <v>665.03399999999999</v>
      </c>
      <c r="R161">
        <v>578.21699999999998</v>
      </c>
      <c r="S161">
        <v>269.53899999999999</v>
      </c>
      <c r="T161">
        <v>256.02300000000002</v>
      </c>
      <c r="U161">
        <v>218.76300000000001</v>
      </c>
      <c r="V161">
        <v>101.383</v>
      </c>
      <c r="W161">
        <v>41.786999999999999</v>
      </c>
      <c r="X161">
        <v>6.1210000000000004</v>
      </c>
      <c r="Y161">
        <v>0.38900000000000001</v>
      </c>
    </row>
    <row r="162" spans="3:25" x14ac:dyDescent="0.25">
      <c r="C162" t="s">
        <v>212</v>
      </c>
      <c r="D162">
        <v>100</v>
      </c>
      <c r="E162">
        <v>312.73</v>
      </c>
      <c r="F162">
        <v>336.65199999999999</v>
      </c>
      <c r="G162">
        <v>370.613</v>
      </c>
      <c r="H162">
        <v>315.26799999999997</v>
      </c>
      <c r="I162">
        <v>299.46699999999998</v>
      </c>
      <c r="J162">
        <v>390.45</v>
      </c>
      <c r="K162">
        <v>480.839</v>
      </c>
      <c r="L162">
        <v>476.75200000000001</v>
      </c>
      <c r="M162">
        <v>534.66399999999999</v>
      </c>
      <c r="N162">
        <v>527.32100000000003</v>
      </c>
      <c r="O162">
        <v>476.55</v>
      </c>
      <c r="P162">
        <v>468.154</v>
      </c>
      <c r="Q162">
        <v>467.298</v>
      </c>
      <c r="R162">
        <v>455.29399999999998</v>
      </c>
      <c r="S162">
        <v>424.6</v>
      </c>
      <c r="T162">
        <v>285.76799999999997</v>
      </c>
      <c r="U162">
        <v>191.839</v>
      </c>
      <c r="V162">
        <v>101.27500000000001</v>
      </c>
      <c r="W162">
        <v>28.222000000000001</v>
      </c>
      <c r="X162">
        <v>4.51</v>
      </c>
      <c r="Y162">
        <v>0.17899999999999999</v>
      </c>
    </row>
    <row r="163" spans="3:25" x14ac:dyDescent="0.25">
      <c r="C163" t="s">
        <v>406</v>
      </c>
      <c r="D163">
        <v>203</v>
      </c>
      <c r="E163">
        <v>558.80999999999995</v>
      </c>
      <c r="F163">
        <v>554.83600000000001</v>
      </c>
      <c r="G163">
        <v>573.61300000000006</v>
      </c>
      <c r="H163">
        <v>487.71800000000002</v>
      </c>
      <c r="I163">
        <v>471.39699999999999</v>
      </c>
      <c r="J163">
        <v>633.94200000000001</v>
      </c>
      <c r="K163">
        <v>716.91600000000005</v>
      </c>
      <c r="L163">
        <v>761.29399999999998</v>
      </c>
      <c r="M163">
        <v>930.40700000000004</v>
      </c>
      <c r="N163">
        <v>867.947</v>
      </c>
      <c r="O163">
        <v>693.99699999999996</v>
      </c>
      <c r="P163">
        <v>657.27300000000002</v>
      </c>
      <c r="Q163">
        <v>643.72199999999998</v>
      </c>
      <c r="R163">
        <v>680.89499999999998</v>
      </c>
      <c r="S163">
        <v>612.77499999999998</v>
      </c>
      <c r="T163">
        <v>418.32400000000001</v>
      </c>
      <c r="U163">
        <v>235.46299999999999</v>
      </c>
      <c r="V163">
        <v>143.81299999999999</v>
      </c>
      <c r="W163">
        <v>54.173999999999999</v>
      </c>
      <c r="X163">
        <v>11.279</v>
      </c>
      <c r="Y163">
        <v>0.38700000000000001</v>
      </c>
    </row>
    <row r="164" spans="3:25" x14ac:dyDescent="0.25">
      <c r="C164" t="s">
        <v>244</v>
      </c>
      <c r="D164">
        <v>348</v>
      </c>
      <c r="E164">
        <v>461.142</v>
      </c>
      <c r="F164">
        <v>447.42399999999998</v>
      </c>
      <c r="G164">
        <v>483.36099999999999</v>
      </c>
      <c r="H164">
        <v>485.846</v>
      </c>
      <c r="I164">
        <v>517.94299999999998</v>
      </c>
      <c r="J164">
        <v>633.74699999999996</v>
      </c>
      <c r="K164">
        <v>612.16399999999999</v>
      </c>
      <c r="L164">
        <v>644.97799999999995</v>
      </c>
      <c r="M164">
        <v>814.68399999999997</v>
      </c>
      <c r="N164">
        <v>773.529</v>
      </c>
      <c r="O164">
        <v>648.15099999999995</v>
      </c>
      <c r="P164">
        <v>553.23699999999997</v>
      </c>
      <c r="Q164">
        <v>636.31899999999996</v>
      </c>
      <c r="R164">
        <v>670.11300000000006</v>
      </c>
      <c r="S164">
        <v>475.77100000000002</v>
      </c>
      <c r="T164">
        <v>370.80500000000001</v>
      </c>
      <c r="U164">
        <v>239.744</v>
      </c>
      <c r="V164">
        <v>132.07499999999999</v>
      </c>
      <c r="W164">
        <v>45.780999999999999</v>
      </c>
      <c r="X164">
        <v>12.917999999999999</v>
      </c>
      <c r="Y164">
        <v>0.61799999999999999</v>
      </c>
    </row>
    <row r="165" spans="3:25" x14ac:dyDescent="0.25">
      <c r="C165" t="s">
        <v>291</v>
      </c>
      <c r="D165">
        <v>616</v>
      </c>
      <c r="E165">
        <v>1884.914</v>
      </c>
      <c r="F165">
        <v>1899.9570000000001</v>
      </c>
      <c r="G165">
        <v>1974.5139999999999</v>
      </c>
      <c r="H165">
        <v>1734.6220000000001</v>
      </c>
      <c r="I165">
        <v>1965.9829999999999</v>
      </c>
      <c r="J165">
        <v>2465.5749999999998</v>
      </c>
      <c r="K165">
        <v>2825.848</v>
      </c>
      <c r="L165">
        <v>3179.0749999999998</v>
      </c>
      <c r="M165">
        <v>2958.6370000000002</v>
      </c>
      <c r="N165">
        <v>2576.8040000000001</v>
      </c>
      <c r="O165">
        <v>2238.4969999999998</v>
      </c>
      <c r="P165">
        <v>2324.6709999999998</v>
      </c>
      <c r="Q165">
        <v>2725.26</v>
      </c>
      <c r="R165">
        <v>2448.8870000000002</v>
      </c>
      <c r="S165">
        <v>1855.8530000000001</v>
      </c>
      <c r="T165">
        <v>1044.673</v>
      </c>
      <c r="U165">
        <v>884.06</v>
      </c>
      <c r="V165">
        <v>557.54499999999996</v>
      </c>
      <c r="W165">
        <v>239.20099999999999</v>
      </c>
      <c r="X165">
        <v>57.005000000000003</v>
      </c>
      <c r="Y165">
        <v>5.024</v>
      </c>
    </row>
    <row r="166" spans="3:25" x14ac:dyDescent="0.25">
      <c r="C166" t="s">
        <v>407</v>
      </c>
      <c r="D166">
        <v>498</v>
      </c>
      <c r="E166">
        <v>202.52</v>
      </c>
      <c r="F166">
        <v>221.53800000000001</v>
      </c>
      <c r="G166">
        <v>216.87</v>
      </c>
      <c r="H166">
        <v>202.416</v>
      </c>
      <c r="I166">
        <v>241.11799999999999</v>
      </c>
      <c r="J166">
        <v>329.71499999999997</v>
      </c>
      <c r="K166">
        <v>417.98899999999998</v>
      </c>
      <c r="L166">
        <v>355.887</v>
      </c>
      <c r="M166">
        <v>301.67700000000002</v>
      </c>
      <c r="N166">
        <v>261.13099999999997</v>
      </c>
      <c r="O166">
        <v>234.464</v>
      </c>
      <c r="P166">
        <v>286.55099999999999</v>
      </c>
      <c r="Q166">
        <v>258.125</v>
      </c>
      <c r="R166">
        <v>230.16399999999999</v>
      </c>
      <c r="S166">
        <v>105.41500000000001</v>
      </c>
      <c r="T166">
        <v>79.573999999999998</v>
      </c>
      <c r="U166">
        <v>53.265000000000001</v>
      </c>
      <c r="V166">
        <v>25.712</v>
      </c>
      <c r="W166">
        <v>8.4629999999999992</v>
      </c>
      <c r="X166">
        <v>1.292</v>
      </c>
      <c r="Y166">
        <v>7.6999999999999999E-2</v>
      </c>
    </row>
    <row r="167" spans="3:25" x14ac:dyDescent="0.25">
      <c r="C167" t="s">
        <v>295</v>
      </c>
      <c r="D167">
        <v>642</v>
      </c>
      <c r="E167">
        <v>939.60599999999999</v>
      </c>
      <c r="F167">
        <v>965.44100000000003</v>
      </c>
      <c r="G167">
        <v>1080.761</v>
      </c>
      <c r="H167">
        <v>994.54499999999996</v>
      </c>
      <c r="I167">
        <v>1009.877</v>
      </c>
      <c r="J167">
        <v>1076.3869999999999</v>
      </c>
      <c r="K167">
        <v>1396.1559999999999</v>
      </c>
      <c r="L167">
        <v>1189.7439999999999</v>
      </c>
      <c r="M167">
        <v>1523.4970000000001</v>
      </c>
      <c r="N167">
        <v>1502.971</v>
      </c>
      <c r="O167">
        <v>1526.1479999999999</v>
      </c>
      <c r="P167">
        <v>1043.01</v>
      </c>
      <c r="Q167">
        <v>1289.96</v>
      </c>
      <c r="R167">
        <v>1245.9880000000001</v>
      </c>
      <c r="S167">
        <v>927.45799999999997</v>
      </c>
      <c r="T167">
        <v>602.81100000000004</v>
      </c>
      <c r="U167">
        <v>536.99</v>
      </c>
      <c r="V167">
        <v>274.61200000000002</v>
      </c>
      <c r="W167">
        <v>93.692999999999998</v>
      </c>
      <c r="X167">
        <v>16.864999999999998</v>
      </c>
      <c r="Y167">
        <v>1.1619999999999999</v>
      </c>
    </row>
    <row r="168" spans="3:25" x14ac:dyDescent="0.25">
      <c r="C168" t="s">
        <v>296</v>
      </c>
      <c r="D168">
        <v>643</v>
      </c>
      <c r="E168">
        <v>9271.6910000000007</v>
      </c>
      <c r="F168">
        <v>9350.9159999999993</v>
      </c>
      <c r="G168">
        <v>8174.2619999999997</v>
      </c>
      <c r="H168">
        <v>7081.7749999999996</v>
      </c>
      <c r="I168">
        <v>6614.6959999999999</v>
      </c>
      <c r="J168">
        <v>8993.0889999999999</v>
      </c>
      <c r="K168">
        <v>12543.831</v>
      </c>
      <c r="L168">
        <v>11924.724</v>
      </c>
      <c r="M168">
        <v>10604.635</v>
      </c>
      <c r="N168">
        <v>9770.6820000000007</v>
      </c>
      <c r="O168">
        <v>8479.6509999999998</v>
      </c>
      <c r="P168">
        <v>10418.014999999999</v>
      </c>
      <c r="Q168">
        <v>10073.623</v>
      </c>
      <c r="R168">
        <v>8427.7459999999992</v>
      </c>
      <c r="S168">
        <v>5390.3810000000003</v>
      </c>
      <c r="T168">
        <v>3159.337</v>
      </c>
      <c r="U168">
        <v>3485.779</v>
      </c>
      <c r="V168">
        <v>1389.6389999999999</v>
      </c>
      <c r="W168">
        <v>668.33799999999997</v>
      </c>
      <c r="X168">
        <v>102.24299999999999</v>
      </c>
      <c r="Y168">
        <v>9.407</v>
      </c>
    </row>
    <row r="169" spans="3:25" x14ac:dyDescent="0.25">
      <c r="C169" t="s">
        <v>306</v>
      </c>
      <c r="D169">
        <v>703</v>
      </c>
      <c r="E169">
        <v>283.69099999999997</v>
      </c>
      <c r="F169">
        <v>282.89999999999998</v>
      </c>
      <c r="G169">
        <v>282.577</v>
      </c>
      <c r="H169">
        <v>262.91800000000001</v>
      </c>
      <c r="I169">
        <v>290.70499999999998</v>
      </c>
      <c r="J169">
        <v>365.08</v>
      </c>
      <c r="K169">
        <v>410.49400000000003</v>
      </c>
      <c r="L169">
        <v>437.10899999999998</v>
      </c>
      <c r="M169">
        <v>457.80799999999999</v>
      </c>
      <c r="N169">
        <v>403.59199999999998</v>
      </c>
      <c r="O169">
        <v>346.84899999999999</v>
      </c>
      <c r="P169">
        <v>362.36799999999999</v>
      </c>
      <c r="Q169">
        <v>361.83800000000002</v>
      </c>
      <c r="R169">
        <v>333.37299999999999</v>
      </c>
      <c r="S169">
        <v>236.821</v>
      </c>
      <c r="T169">
        <v>161.88999999999999</v>
      </c>
      <c r="U169">
        <v>100.449</v>
      </c>
      <c r="V169">
        <v>56.655000000000001</v>
      </c>
      <c r="W169">
        <v>18.905999999999999</v>
      </c>
      <c r="X169">
        <v>3.456</v>
      </c>
      <c r="Y169">
        <v>0.16400000000000001</v>
      </c>
    </row>
    <row r="170" spans="3:25" x14ac:dyDescent="0.25">
      <c r="C170" t="s">
        <v>323</v>
      </c>
      <c r="D170">
        <v>804</v>
      </c>
      <c r="E170">
        <v>2113.85</v>
      </c>
      <c r="F170">
        <v>2475.6610000000001</v>
      </c>
      <c r="G170">
        <v>2403.7429999999999</v>
      </c>
      <c r="H170">
        <v>1979.7739999999999</v>
      </c>
      <c r="I170">
        <v>2146.047</v>
      </c>
      <c r="J170">
        <v>2752.444</v>
      </c>
      <c r="K170">
        <v>3584.8339999999998</v>
      </c>
      <c r="L170">
        <v>3624.1239999999998</v>
      </c>
      <c r="M170">
        <v>3337.1909999999998</v>
      </c>
      <c r="N170">
        <v>3069.2130000000002</v>
      </c>
      <c r="O170">
        <v>2802.9580000000001</v>
      </c>
      <c r="P170">
        <v>3103.779</v>
      </c>
      <c r="Q170">
        <v>2927.6439999999998</v>
      </c>
      <c r="R170">
        <v>2612.212</v>
      </c>
      <c r="S170">
        <v>1769.077</v>
      </c>
      <c r="T170">
        <v>1214.3530000000001</v>
      </c>
      <c r="U170">
        <v>1187.162</v>
      </c>
      <c r="V170">
        <v>412.197</v>
      </c>
      <c r="W170">
        <v>188.148</v>
      </c>
      <c r="X170">
        <v>27.428999999999998</v>
      </c>
      <c r="Y170">
        <v>1.919</v>
      </c>
    </row>
    <row r="171" spans="3:25" x14ac:dyDescent="0.25">
      <c r="C171" t="s">
        <v>408</v>
      </c>
      <c r="D171">
        <v>830</v>
      </c>
      <c r="E171">
        <v>8.702</v>
      </c>
      <c r="F171">
        <v>8.8610000000000007</v>
      </c>
      <c r="G171">
        <v>8.4700000000000006</v>
      </c>
      <c r="H171">
        <v>9.31</v>
      </c>
      <c r="I171">
        <v>10.436999999999999</v>
      </c>
      <c r="J171">
        <v>11.332000000000001</v>
      </c>
      <c r="K171">
        <v>11.779</v>
      </c>
      <c r="L171">
        <v>12.11</v>
      </c>
      <c r="M171">
        <v>11.622999999999999</v>
      </c>
      <c r="N171">
        <v>13.291</v>
      </c>
      <c r="O171">
        <v>13.714</v>
      </c>
      <c r="P171">
        <v>12.464</v>
      </c>
      <c r="Q171">
        <v>10.619</v>
      </c>
      <c r="R171">
        <v>9.3930000000000007</v>
      </c>
      <c r="S171">
        <v>7.6440000000000001</v>
      </c>
      <c r="T171">
        <v>5.649</v>
      </c>
      <c r="U171">
        <v>4.274</v>
      </c>
      <c r="V171">
        <v>2.5350000000000001</v>
      </c>
      <c r="W171">
        <v>1.2070000000000001</v>
      </c>
      <c r="X171">
        <v>0.372</v>
      </c>
      <c r="Y171">
        <v>7.2999999999999995E-2</v>
      </c>
    </row>
    <row r="172" spans="3:25" x14ac:dyDescent="0.25">
      <c r="C172" t="s">
        <v>225</v>
      </c>
      <c r="D172">
        <v>208</v>
      </c>
      <c r="E172">
        <v>308.596</v>
      </c>
      <c r="F172">
        <v>297.43299999999999</v>
      </c>
      <c r="G172">
        <v>337.04500000000002</v>
      </c>
      <c r="H172">
        <v>338.90300000000002</v>
      </c>
      <c r="I172">
        <v>373.94600000000003</v>
      </c>
      <c r="J172">
        <v>402.01600000000002</v>
      </c>
      <c r="K172">
        <v>355.01600000000002</v>
      </c>
      <c r="L172">
        <v>317.274</v>
      </c>
      <c r="M172">
        <v>360.96600000000001</v>
      </c>
      <c r="N172">
        <v>377.24099999999999</v>
      </c>
      <c r="O172">
        <v>421.73500000000001</v>
      </c>
      <c r="P172">
        <v>388.39100000000002</v>
      </c>
      <c r="Q172">
        <v>345.70299999999997</v>
      </c>
      <c r="R172">
        <v>308.827</v>
      </c>
      <c r="S172">
        <v>351.30099999999999</v>
      </c>
      <c r="T172">
        <v>234.83699999999999</v>
      </c>
      <c r="U172">
        <v>147.18199999999999</v>
      </c>
      <c r="V172">
        <v>78.137</v>
      </c>
      <c r="W172">
        <v>36.192999999999998</v>
      </c>
      <c r="X172">
        <v>10.135</v>
      </c>
      <c r="Y172">
        <v>1.3260000000000001</v>
      </c>
    </row>
    <row r="173" spans="3:25" x14ac:dyDescent="0.25">
      <c r="C173" t="s">
        <v>230</v>
      </c>
      <c r="D173">
        <v>233</v>
      </c>
      <c r="E173">
        <v>69.176000000000002</v>
      </c>
      <c r="F173">
        <v>74.484999999999999</v>
      </c>
      <c r="G173">
        <v>75.192999999999998</v>
      </c>
      <c r="H173">
        <v>62.295000000000002</v>
      </c>
      <c r="I173">
        <v>58.008000000000003</v>
      </c>
      <c r="J173">
        <v>87.546000000000006</v>
      </c>
      <c r="K173">
        <v>101.57</v>
      </c>
      <c r="L173">
        <v>92.061000000000007</v>
      </c>
      <c r="M173">
        <v>88.572999999999993</v>
      </c>
      <c r="N173">
        <v>96.364999999999995</v>
      </c>
      <c r="O173">
        <v>76.415000000000006</v>
      </c>
      <c r="P173">
        <v>88.867999999999995</v>
      </c>
      <c r="Q173">
        <v>85.724999999999994</v>
      </c>
      <c r="R173">
        <v>83.747</v>
      </c>
      <c r="S173">
        <v>53.146999999999998</v>
      </c>
      <c r="T173">
        <v>54.281999999999996</v>
      </c>
      <c r="U173">
        <v>43.508000000000003</v>
      </c>
      <c r="V173">
        <v>23.427</v>
      </c>
      <c r="W173">
        <v>10.146000000000001</v>
      </c>
      <c r="X173">
        <v>1.8640000000000001</v>
      </c>
      <c r="Y173">
        <v>0.13800000000000001</v>
      </c>
    </row>
    <row r="174" spans="3:25" x14ac:dyDescent="0.25">
      <c r="C174" t="s">
        <v>233</v>
      </c>
      <c r="D174">
        <v>246</v>
      </c>
      <c r="E174">
        <v>264.13200000000001</v>
      </c>
      <c r="F174">
        <v>304.54700000000003</v>
      </c>
      <c r="G174">
        <v>310.36200000000002</v>
      </c>
      <c r="H174">
        <v>296.298</v>
      </c>
      <c r="I174">
        <v>313.25299999999999</v>
      </c>
      <c r="J174">
        <v>359.1</v>
      </c>
      <c r="K174">
        <v>347.43200000000002</v>
      </c>
      <c r="L174">
        <v>359.14800000000002</v>
      </c>
      <c r="M174">
        <v>345.452</v>
      </c>
      <c r="N174">
        <v>314.108</v>
      </c>
      <c r="O174">
        <v>351.00700000000001</v>
      </c>
      <c r="P174">
        <v>369.548</v>
      </c>
      <c r="Q174">
        <v>356.64800000000002</v>
      </c>
      <c r="R174">
        <v>355.67700000000002</v>
      </c>
      <c r="S174">
        <v>357.60199999999998</v>
      </c>
      <c r="T174">
        <v>225.386</v>
      </c>
      <c r="U174">
        <v>159.12299999999999</v>
      </c>
      <c r="V174">
        <v>96.400999999999996</v>
      </c>
      <c r="W174">
        <v>44.210999999999999</v>
      </c>
      <c r="X174">
        <v>10.308</v>
      </c>
      <c r="Y174">
        <v>0.97499999999999998</v>
      </c>
    </row>
    <row r="175" spans="3:25" x14ac:dyDescent="0.25">
      <c r="C175" t="s">
        <v>245</v>
      </c>
      <c r="D175">
        <v>352</v>
      </c>
      <c r="E175">
        <v>20.439</v>
      </c>
      <c r="F175">
        <v>22.631</v>
      </c>
      <c r="G175">
        <v>23.213000000000001</v>
      </c>
      <c r="H175">
        <v>21.495000000000001</v>
      </c>
      <c r="I175">
        <v>22.239000000000001</v>
      </c>
      <c r="J175">
        <v>25.559000000000001</v>
      </c>
      <c r="K175">
        <v>23.306000000000001</v>
      </c>
      <c r="L175">
        <v>23.565000000000001</v>
      </c>
      <c r="M175">
        <v>21.815999999999999</v>
      </c>
      <c r="N175">
        <v>21.15</v>
      </c>
      <c r="O175">
        <v>20.725999999999999</v>
      </c>
      <c r="P175">
        <v>21.385000000000002</v>
      </c>
      <c r="Q175">
        <v>20.411000000000001</v>
      </c>
      <c r="R175">
        <v>17.125</v>
      </c>
      <c r="S175">
        <v>13.941000000000001</v>
      </c>
      <c r="T175">
        <v>9.4740000000000002</v>
      </c>
      <c r="U175">
        <v>6.149</v>
      </c>
      <c r="V175">
        <v>4.2720000000000002</v>
      </c>
      <c r="W175">
        <v>1.835</v>
      </c>
      <c r="X175">
        <v>0.46800000000000003</v>
      </c>
      <c r="Y175">
        <v>5.0999999999999997E-2</v>
      </c>
    </row>
    <row r="176" spans="3:25" x14ac:dyDescent="0.25">
      <c r="C176" t="s">
        <v>250</v>
      </c>
      <c r="D176">
        <v>372</v>
      </c>
      <c r="E176">
        <v>313.65300000000002</v>
      </c>
      <c r="F176">
        <v>358.29</v>
      </c>
      <c r="G176">
        <v>356.71100000000001</v>
      </c>
      <c r="H176">
        <v>312.036</v>
      </c>
      <c r="I176">
        <v>289.68400000000003</v>
      </c>
      <c r="J176">
        <v>277.65300000000002</v>
      </c>
      <c r="K176">
        <v>310.94600000000003</v>
      </c>
      <c r="L176">
        <v>384.98200000000003</v>
      </c>
      <c r="M176">
        <v>395.55399999999997</v>
      </c>
      <c r="N176">
        <v>367.67399999999998</v>
      </c>
      <c r="O176">
        <v>312.197</v>
      </c>
      <c r="P176">
        <v>288.73599999999999</v>
      </c>
      <c r="Q176">
        <v>249.84800000000001</v>
      </c>
      <c r="R176">
        <v>230.93700000000001</v>
      </c>
      <c r="S176">
        <v>196.80600000000001</v>
      </c>
      <c r="T176">
        <v>133.857</v>
      </c>
      <c r="U176">
        <v>88.108000000000004</v>
      </c>
      <c r="V176">
        <v>45.73</v>
      </c>
      <c r="W176">
        <v>18.39</v>
      </c>
      <c r="X176">
        <v>5.3639999999999999</v>
      </c>
      <c r="Y176">
        <v>0.64</v>
      </c>
    </row>
    <row r="177" spans="3:25" x14ac:dyDescent="0.25">
      <c r="C177" t="s">
        <v>261</v>
      </c>
      <c r="D177">
        <v>428</v>
      </c>
      <c r="E177">
        <v>114.02</v>
      </c>
      <c r="F177">
        <v>93.748999999999995</v>
      </c>
      <c r="G177">
        <v>102.172</v>
      </c>
      <c r="H177">
        <v>86.552000000000007</v>
      </c>
      <c r="I177">
        <v>69.531000000000006</v>
      </c>
      <c r="J177">
        <v>118.69199999999999</v>
      </c>
      <c r="K177">
        <v>142.25899999999999</v>
      </c>
      <c r="L177">
        <v>120.96299999999999</v>
      </c>
      <c r="M177">
        <v>120.748</v>
      </c>
      <c r="N177">
        <v>133.13900000000001</v>
      </c>
      <c r="O177">
        <v>119.17700000000001</v>
      </c>
      <c r="P177">
        <v>145.065</v>
      </c>
      <c r="Q177">
        <v>129.93100000000001</v>
      </c>
      <c r="R177">
        <v>120.21299999999999</v>
      </c>
      <c r="S177">
        <v>74.721000000000004</v>
      </c>
      <c r="T177">
        <v>87.983000000000004</v>
      </c>
      <c r="U177">
        <v>49.473999999999997</v>
      </c>
      <c r="V177">
        <v>34.972999999999999</v>
      </c>
      <c r="W177">
        <v>17.611999999999998</v>
      </c>
      <c r="X177">
        <v>4.6689999999999996</v>
      </c>
      <c r="Y177">
        <v>0.55900000000000005</v>
      </c>
    </row>
    <row r="178" spans="3:25" x14ac:dyDescent="0.25">
      <c r="C178" t="s">
        <v>265</v>
      </c>
      <c r="D178">
        <v>440</v>
      </c>
      <c r="E178">
        <v>145.11799999999999</v>
      </c>
      <c r="F178">
        <v>155.55699999999999</v>
      </c>
      <c r="G178">
        <v>120.68</v>
      </c>
      <c r="H178">
        <v>122.161</v>
      </c>
      <c r="I178">
        <v>133.64500000000001</v>
      </c>
      <c r="J178">
        <v>183.233</v>
      </c>
      <c r="K178">
        <v>186.363</v>
      </c>
      <c r="L178">
        <v>151.202</v>
      </c>
      <c r="M178">
        <v>161.179</v>
      </c>
      <c r="N178">
        <v>194.73</v>
      </c>
      <c r="O178">
        <v>184.85400000000001</v>
      </c>
      <c r="P178">
        <v>235.70400000000001</v>
      </c>
      <c r="Q178">
        <v>186.583</v>
      </c>
      <c r="R178">
        <v>166.22800000000001</v>
      </c>
      <c r="S178">
        <v>108.45699999999999</v>
      </c>
      <c r="T178">
        <v>114.82599999999999</v>
      </c>
      <c r="U178">
        <v>83.341999999999999</v>
      </c>
      <c r="V178">
        <v>55.826999999999998</v>
      </c>
      <c r="W178">
        <v>25.757000000000001</v>
      </c>
      <c r="X178">
        <v>6.274</v>
      </c>
      <c r="Y178">
        <v>0.57099999999999995</v>
      </c>
    </row>
    <row r="179" spans="3:25" x14ac:dyDescent="0.25">
      <c r="C179" t="s">
        <v>409</v>
      </c>
      <c r="D179">
        <v>578</v>
      </c>
      <c r="E179">
        <v>301.74799999999999</v>
      </c>
      <c r="F179">
        <v>312.57499999999999</v>
      </c>
      <c r="G179">
        <v>321.226</v>
      </c>
      <c r="H179">
        <v>321.80500000000001</v>
      </c>
      <c r="I179">
        <v>353.26900000000001</v>
      </c>
      <c r="J179">
        <v>373.11399999999998</v>
      </c>
      <c r="K179">
        <v>376.83499999999998</v>
      </c>
      <c r="L179">
        <v>361.88900000000001</v>
      </c>
      <c r="M179">
        <v>347.41800000000001</v>
      </c>
      <c r="N179">
        <v>377.512</v>
      </c>
      <c r="O179">
        <v>377.38600000000002</v>
      </c>
      <c r="P179">
        <v>335.12200000000001</v>
      </c>
      <c r="Q179">
        <v>311.18299999999999</v>
      </c>
      <c r="R179">
        <v>274.97300000000001</v>
      </c>
      <c r="S179">
        <v>266.77999999999997</v>
      </c>
      <c r="T179">
        <v>179.66800000000001</v>
      </c>
      <c r="U179">
        <v>113.26900000000001</v>
      </c>
      <c r="V179">
        <v>70.817999999999998</v>
      </c>
      <c r="W179">
        <v>33.613999999999997</v>
      </c>
      <c r="X179">
        <v>9.9580000000000002</v>
      </c>
      <c r="Y179">
        <v>1.08</v>
      </c>
    </row>
    <row r="180" spans="3:25" x14ac:dyDescent="0.25">
      <c r="C180" t="s">
        <v>313</v>
      </c>
      <c r="D180">
        <v>752</v>
      </c>
      <c r="E180">
        <v>601.45000000000005</v>
      </c>
      <c r="F180">
        <v>592.50099999999998</v>
      </c>
      <c r="G180">
        <v>585.90099999999995</v>
      </c>
      <c r="H180">
        <v>541.226</v>
      </c>
      <c r="I180">
        <v>543.78599999999994</v>
      </c>
      <c r="J180">
        <v>733.14400000000001</v>
      </c>
      <c r="K180">
        <v>692.94899999999996</v>
      </c>
      <c r="L180">
        <v>627.35</v>
      </c>
      <c r="M180">
        <v>609.202</v>
      </c>
      <c r="N180">
        <v>654.92100000000005</v>
      </c>
      <c r="O180">
        <v>679.40499999999997</v>
      </c>
      <c r="P180">
        <v>617.24199999999996</v>
      </c>
      <c r="Q180">
        <v>567.13300000000004</v>
      </c>
      <c r="R180">
        <v>526.73500000000001</v>
      </c>
      <c r="S180">
        <v>564.149</v>
      </c>
      <c r="T180">
        <v>430.09500000000003</v>
      </c>
      <c r="U180">
        <v>269.77699999999999</v>
      </c>
      <c r="V180">
        <v>161.72200000000001</v>
      </c>
      <c r="W180">
        <v>76.911000000000001</v>
      </c>
      <c r="X180">
        <v>21.401</v>
      </c>
      <c r="Y180">
        <v>2.27</v>
      </c>
    </row>
    <row r="181" spans="3:25" x14ac:dyDescent="0.25">
      <c r="C181" t="s">
        <v>410</v>
      </c>
      <c r="D181">
        <v>826</v>
      </c>
      <c r="E181">
        <v>3924.49</v>
      </c>
      <c r="F181">
        <v>4119.5659999999998</v>
      </c>
      <c r="G181">
        <v>3956.34</v>
      </c>
      <c r="H181">
        <v>3686.1329999999998</v>
      </c>
      <c r="I181">
        <v>4074.64</v>
      </c>
      <c r="J181">
        <v>4484.067</v>
      </c>
      <c r="K181">
        <v>4706.8280000000004</v>
      </c>
      <c r="L181">
        <v>4588.1959999999999</v>
      </c>
      <c r="M181">
        <v>4308.13</v>
      </c>
      <c r="N181">
        <v>4296.1210000000001</v>
      </c>
      <c r="O181">
        <v>4634.54</v>
      </c>
      <c r="P181">
        <v>4538.9250000000002</v>
      </c>
      <c r="Q181">
        <v>3905.0160000000001</v>
      </c>
      <c r="R181">
        <v>3381.761</v>
      </c>
      <c r="S181">
        <v>3388.4879999999998</v>
      </c>
      <c r="T181">
        <v>2442.1469999999999</v>
      </c>
      <c r="U181">
        <v>1736.567</v>
      </c>
      <c r="V181">
        <v>1077.5550000000001</v>
      </c>
      <c r="W181">
        <v>490.577</v>
      </c>
      <c r="X181">
        <v>130.083</v>
      </c>
      <c r="Y181">
        <v>15.834</v>
      </c>
    </row>
    <row r="182" spans="3:25" x14ac:dyDescent="0.25">
      <c r="C182" t="s">
        <v>192</v>
      </c>
      <c r="D182">
        <v>8</v>
      </c>
      <c r="E182">
        <v>166.27799999999999</v>
      </c>
      <c r="F182">
        <v>167.554</v>
      </c>
      <c r="G182">
        <v>162.18100000000001</v>
      </c>
      <c r="H182">
        <v>199.59700000000001</v>
      </c>
      <c r="I182">
        <v>228.35599999999999</v>
      </c>
      <c r="J182">
        <v>244.32300000000001</v>
      </c>
      <c r="K182">
        <v>223.92400000000001</v>
      </c>
      <c r="L182">
        <v>166.84899999999999</v>
      </c>
      <c r="M182">
        <v>152.51</v>
      </c>
      <c r="N182">
        <v>170.50899999999999</v>
      </c>
      <c r="O182">
        <v>184.185</v>
      </c>
      <c r="P182">
        <v>201.90600000000001</v>
      </c>
      <c r="Q182">
        <v>186.459</v>
      </c>
      <c r="R182">
        <v>143.78299999999999</v>
      </c>
      <c r="S182">
        <v>108.13200000000001</v>
      </c>
      <c r="T182">
        <v>86.536000000000001</v>
      </c>
      <c r="U182">
        <v>53.875999999999998</v>
      </c>
      <c r="V182">
        <v>23.388000000000002</v>
      </c>
      <c r="W182">
        <v>6.6269999999999998</v>
      </c>
      <c r="X182">
        <v>0.77600000000000002</v>
      </c>
      <c r="Y182">
        <v>5.0999999999999997E-2</v>
      </c>
    </row>
    <row r="183" spans="3:25" x14ac:dyDescent="0.25">
      <c r="C183" t="s">
        <v>208</v>
      </c>
      <c r="D183">
        <v>70</v>
      </c>
      <c r="E183">
        <v>133.25399999999999</v>
      </c>
      <c r="F183">
        <v>161.958</v>
      </c>
      <c r="G183">
        <v>181.24</v>
      </c>
      <c r="H183">
        <v>165.035</v>
      </c>
      <c r="I183">
        <v>216.16800000000001</v>
      </c>
      <c r="J183">
        <v>187.10400000000001</v>
      </c>
      <c r="K183">
        <v>216.38499999999999</v>
      </c>
      <c r="L183">
        <v>242</v>
      </c>
      <c r="M183">
        <v>220.803</v>
      </c>
      <c r="N183">
        <v>226.935</v>
      </c>
      <c r="O183">
        <v>231.33799999999999</v>
      </c>
      <c r="P183">
        <v>268.84399999999999</v>
      </c>
      <c r="Q183">
        <v>241.96700000000001</v>
      </c>
      <c r="R183">
        <v>221.828</v>
      </c>
      <c r="S183">
        <v>143.428</v>
      </c>
      <c r="T183">
        <v>99.07</v>
      </c>
      <c r="U183">
        <v>84.515000000000001</v>
      </c>
      <c r="V183">
        <v>25.472999999999999</v>
      </c>
      <c r="W183">
        <v>11.15</v>
      </c>
      <c r="X183">
        <v>2.165</v>
      </c>
      <c r="Y183">
        <v>0.155</v>
      </c>
    </row>
    <row r="184" spans="3:25" x14ac:dyDescent="0.25">
      <c r="C184" t="s">
        <v>223</v>
      </c>
      <c r="D184">
        <v>191</v>
      </c>
      <c r="E184">
        <v>184.15100000000001</v>
      </c>
      <c r="F184">
        <v>201.625</v>
      </c>
      <c r="G184">
        <v>211.19399999999999</v>
      </c>
      <c r="H184">
        <v>196.91200000000001</v>
      </c>
      <c r="I184">
        <v>236.131</v>
      </c>
      <c r="J184">
        <v>236.06899999999999</v>
      </c>
      <c r="K184">
        <v>257.51900000000001</v>
      </c>
      <c r="L184">
        <v>281.77199999999999</v>
      </c>
      <c r="M184">
        <v>288.137</v>
      </c>
      <c r="N184">
        <v>268.86500000000001</v>
      </c>
      <c r="O184">
        <v>281.01400000000001</v>
      </c>
      <c r="P184">
        <v>300.36900000000003</v>
      </c>
      <c r="Q184">
        <v>289.048</v>
      </c>
      <c r="R184">
        <v>276.33</v>
      </c>
      <c r="S184">
        <v>206.036</v>
      </c>
      <c r="T184">
        <v>155.91900000000001</v>
      </c>
      <c r="U184">
        <v>133.892</v>
      </c>
      <c r="V184">
        <v>71.204999999999998</v>
      </c>
      <c r="W184">
        <v>25.033999999999999</v>
      </c>
      <c r="X184">
        <v>3.81</v>
      </c>
      <c r="Y184">
        <v>0.23599999999999999</v>
      </c>
    </row>
    <row r="185" spans="3:25" x14ac:dyDescent="0.25">
      <c r="C185" t="s">
        <v>238</v>
      </c>
      <c r="D185">
        <v>300</v>
      </c>
      <c r="E185">
        <v>409.459</v>
      </c>
      <c r="F185">
        <v>471.66800000000001</v>
      </c>
      <c r="G185">
        <v>542.23699999999997</v>
      </c>
      <c r="H185">
        <v>526.61800000000005</v>
      </c>
      <c r="I185">
        <v>529.41600000000005</v>
      </c>
      <c r="J185">
        <v>527.79999999999995</v>
      </c>
      <c r="K185">
        <v>597.81200000000001</v>
      </c>
      <c r="L185">
        <v>738.70299999999997</v>
      </c>
      <c r="M185">
        <v>780.46299999999997</v>
      </c>
      <c r="N185">
        <v>793.94600000000003</v>
      </c>
      <c r="O185">
        <v>796.34299999999996</v>
      </c>
      <c r="P185">
        <v>709.351</v>
      </c>
      <c r="Q185">
        <v>676.52800000000002</v>
      </c>
      <c r="R185">
        <v>580.63400000000001</v>
      </c>
      <c r="S185">
        <v>549.46400000000006</v>
      </c>
      <c r="T185">
        <v>406.61900000000003</v>
      </c>
      <c r="U185">
        <v>394.392</v>
      </c>
      <c r="V185">
        <v>260.75599999999997</v>
      </c>
      <c r="W185">
        <v>104.96899999999999</v>
      </c>
      <c r="X185">
        <v>23.196999999999999</v>
      </c>
      <c r="Y185">
        <v>2.681</v>
      </c>
    </row>
    <row r="186" spans="3:25" x14ac:dyDescent="0.25">
      <c r="C186" t="s">
        <v>252</v>
      </c>
      <c r="D186">
        <v>380</v>
      </c>
      <c r="E186">
        <v>2324.694</v>
      </c>
      <c r="F186">
        <v>2670.3009999999999</v>
      </c>
      <c r="G186">
        <v>2857.357</v>
      </c>
      <c r="H186">
        <v>2876.0909999999999</v>
      </c>
      <c r="I186">
        <v>2942.5059999999999</v>
      </c>
      <c r="J186">
        <v>3160.93</v>
      </c>
      <c r="K186">
        <v>3365.5120000000002</v>
      </c>
      <c r="L186">
        <v>3632.922</v>
      </c>
      <c r="M186">
        <v>4188.9840000000004</v>
      </c>
      <c r="N186">
        <v>4833.0200000000004</v>
      </c>
      <c r="O186">
        <v>4908.2460000000001</v>
      </c>
      <c r="P186">
        <v>4658.9459999999999</v>
      </c>
      <c r="Q186">
        <v>3953.567</v>
      </c>
      <c r="R186">
        <v>3531.2950000000001</v>
      </c>
      <c r="S186">
        <v>3391.7979999999998</v>
      </c>
      <c r="T186">
        <v>2637.11</v>
      </c>
      <c r="U186">
        <v>2302.393</v>
      </c>
      <c r="V186">
        <v>1397.261</v>
      </c>
      <c r="W186">
        <v>639.73900000000003</v>
      </c>
      <c r="X186">
        <v>172.63900000000001</v>
      </c>
      <c r="Y186">
        <v>16.516999999999999</v>
      </c>
    </row>
    <row r="187" spans="3:25" x14ac:dyDescent="0.25">
      <c r="C187" t="s">
        <v>269</v>
      </c>
      <c r="D187">
        <v>470</v>
      </c>
      <c r="E187">
        <v>21.673999999999999</v>
      </c>
      <c r="F187">
        <v>21.428000000000001</v>
      </c>
      <c r="G187">
        <v>20.364999999999998</v>
      </c>
      <c r="H187">
        <v>20.562000000000001</v>
      </c>
      <c r="I187">
        <v>25.05</v>
      </c>
      <c r="J187">
        <v>30.161999999999999</v>
      </c>
      <c r="K187">
        <v>32.927</v>
      </c>
      <c r="L187">
        <v>32.426000000000002</v>
      </c>
      <c r="M187">
        <v>31.152999999999999</v>
      </c>
      <c r="N187">
        <v>28.292999999999999</v>
      </c>
      <c r="O187">
        <v>25.036000000000001</v>
      </c>
      <c r="P187">
        <v>28.175999999999998</v>
      </c>
      <c r="Q187">
        <v>30.131</v>
      </c>
      <c r="R187">
        <v>27.548999999999999</v>
      </c>
      <c r="S187">
        <v>27.97</v>
      </c>
      <c r="T187">
        <v>17.196000000000002</v>
      </c>
      <c r="U187">
        <v>11.641999999999999</v>
      </c>
      <c r="V187">
        <v>6.5190000000000001</v>
      </c>
      <c r="W187">
        <v>2.5529999999999999</v>
      </c>
      <c r="X187">
        <v>0.64900000000000002</v>
      </c>
      <c r="Y187">
        <v>7.8E-2</v>
      </c>
    </row>
    <row r="188" spans="3:25" x14ac:dyDescent="0.25">
      <c r="C188" t="s">
        <v>274</v>
      </c>
      <c r="D188">
        <v>499</v>
      </c>
      <c r="E188">
        <v>36.905999999999999</v>
      </c>
      <c r="F188">
        <v>37.036999999999999</v>
      </c>
      <c r="G188">
        <v>39.389000000000003</v>
      </c>
      <c r="H188">
        <v>39.148000000000003</v>
      </c>
      <c r="I188">
        <v>41.268000000000001</v>
      </c>
      <c r="J188">
        <v>42.927999999999997</v>
      </c>
      <c r="K188">
        <v>42.561</v>
      </c>
      <c r="L188">
        <v>45.786999999999999</v>
      </c>
      <c r="M188">
        <v>42.874000000000002</v>
      </c>
      <c r="N188">
        <v>41.048000000000002</v>
      </c>
      <c r="O188">
        <v>38.143000000000001</v>
      </c>
      <c r="P188">
        <v>42.177</v>
      </c>
      <c r="Q188">
        <v>39.753999999999998</v>
      </c>
      <c r="R188">
        <v>37.191000000000003</v>
      </c>
      <c r="S188">
        <v>24.533999999999999</v>
      </c>
      <c r="T188">
        <v>15.904</v>
      </c>
      <c r="U188">
        <v>13.154</v>
      </c>
      <c r="V188">
        <v>6.343</v>
      </c>
      <c r="W188">
        <v>1.696</v>
      </c>
      <c r="X188">
        <v>0.20799999999999999</v>
      </c>
      <c r="Y188">
        <v>1.2E-2</v>
      </c>
    </row>
    <row r="189" spans="3:25" x14ac:dyDescent="0.25">
      <c r="C189" t="s">
        <v>411</v>
      </c>
      <c r="D189">
        <v>807</v>
      </c>
      <c r="E189">
        <v>111.883</v>
      </c>
      <c r="F189">
        <v>115.669</v>
      </c>
      <c r="G189">
        <v>112.251</v>
      </c>
      <c r="H189">
        <v>121.2</v>
      </c>
      <c r="I189">
        <v>130.29400000000001</v>
      </c>
      <c r="J189">
        <v>152.68899999999999</v>
      </c>
      <c r="K189">
        <v>162.011</v>
      </c>
      <c r="L189">
        <v>163.96600000000001</v>
      </c>
      <c r="M189">
        <v>154.54</v>
      </c>
      <c r="N189">
        <v>145.36099999999999</v>
      </c>
      <c r="O189">
        <v>145.07300000000001</v>
      </c>
      <c r="P189">
        <v>137.75899999999999</v>
      </c>
      <c r="Q189">
        <v>129.065</v>
      </c>
      <c r="R189">
        <v>115.581</v>
      </c>
      <c r="S189">
        <v>79.174999999999997</v>
      </c>
      <c r="T189">
        <v>54.707999999999998</v>
      </c>
      <c r="U189">
        <v>34.316000000000003</v>
      </c>
      <c r="V189">
        <v>14.237</v>
      </c>
      <c r="W189">
        <v>3.266</v>
      </c>
      <c r="X189">
        <v>0.32400000000000001</v>
      </c>
      <c r="Y189">
        <v>1.2E-2</v>
      </c>
    </row>
    <row r="190" spans="3:25" x14ac:dyDescent="0.25">
      <c r="C190" t="s">
        <v>292</v>
      </c>
      <c r="D190">
        <v>620</v>
      </c>
      <c r="E190">
        <v>400.65199999999999</v>
      </c>
      <c r="F190">
        <v>440.42399999999998</v>
      </c>
      <c r="G190">
        <v>489.99900000000002</v>
      </c>
      <c r="H190">
        <v>525.16700000000003</v>
      </c>
      <c r="I190">
        <v>539.83399999999995</v>
      </c>
      <c r="J190">
        <v>533.86400000000003</v>
      </c>
      <c r="K190">
        <v>560.99699999999996</v>
      </c>
      <c r="L190">
        <v>654.31200000000001</v>
      </c>
      <c r="M190">
        <v>765.45100000000002</v>
      </c>
      <c r="N190">
        <v>810.46</v>
      </c>
      <c r="O190">
        <v>743.38900000000001</v>
      </c>
      <c r="P190">
        <v>737.61800000000005</v>
      </c>
      <c r="Q190">
        <v>672.51900000000001</v>
      </c>
      <c r="R190">
        <v>621.30499999999995</v>
      </c>
      <c r="S190">
        <v>566.94299999999998</v>
      </c>
      <c r="T190">
        <v>451.37099999999998</v>
      </c>
      <c r="U190">
        <v>352.21199999999999</v>
      </c>
      <c r="V190">
        <v>224.13</v>
      </c>
      <c r="W190">
        <v>84.924000000000007</v>
      </c>
      <c r="X190">
        <v>19.175000000000001</v>
      </c>
      <c r="Y190">
        <v>1.9610000000000001</v>
      </c>
    </row>
    <row r="191" spans="3:25" x14ac:dyDescent="0.25">
      <c r="C191" t="s">
        <v>302</v>
      </c>
      <c r="D191">
        <v>688</v>
      </c>
      <c r="E191">
        <v>419.05700000000002</v>
      </c>
      <c r="F191">
        <v>436.76299999999998</v>
      </c>
      <c r="G191">
        <v>486.863</v>
      </c>
      <c r="H191">
        <v>512.86800000000005</v>
      </c>
      <c r="I191">
        <v>529.16899999999998</v>
      </c>
      <c r="J191">
        <v>573.29700000000003</v>
      </c>
      <c r="K191">
        <v>617.923</v>
      </c>
      <c r="L191">
        <v>596.96100000000001</v>
      </c>
      <c r="M191">
        <v>621.55200000000002</v>
      </c>
      <c r="N191">
        <v>608.34199999999998</v>
      </c>
      <c r="O191">
        <v>570.649</v>
      </c>
      <c r="P191">
        <v>550.85900000000004</v>
      </c>
      <c r="Q191">
        <v>547.85400000000004</v>
      </c>
      <c r="R191">
        <v>594.61699999999996</v>
      </c>
      <c r="S191">
        <v>464.14100000000002</v>
      </c>
      <c r="T191">
        <v>265.541</v>
      </c>
      <c r="U191">
        <v>204.46100000000001</v>
      </c>
      <c r="V191">
        <v>105.40900000000001</v>
      </c>
      <c r="W191">
        <v>28.003</v>
      </c>
      <c r="X191">
        <v>2.9340000000000002</v>
      </c>
      <c r="Y191">
        <v>0.107</v>
      </c>
    </row>
    <row r="192" spans="3:25" x14ac:dyDescent="0.25">
      <c r="C192" t="s">
        <v>307</v>
      </c>
      <c r="D192">
        <v>705</v>
      </c>
      <c r="E192">
        <v>101.27200000000001</v>
      </c>
      <c r="F192">
        <v>108.899</v>
      </c>
      <c r="G192">
        <v>104.506</v>
      </c>
      <c r="H192">
        <v>91.87</v>
      </c>
      <c r="I192">
        <v>96.316000000000003</v>
      </c>
      <c r="J192">
        <v>109.178</v>
      </c>
      <c r="K192">
        <v>133.863</v>
      </c>
      <c r="L192">
        <v>149.786</v>
      </c>
      <c r="M192">
        <v>158.37299999999999</v>
      </c>
      <c r="N192">
        <v>146.953</v>
      </c>
      <c r="O192">
        <v>151.31200000000001</v>
      </c>
      <c r="P192">
        <v>149.88999999999999</v>
      </c>
      <c r="Q192">
        <v>145.59299999999999</v>
      </c>
      <c r="R192">
        <v>139.34800000000001</v>
      </c>
      <c r="S192">
        <v>97.507999999999996</v>
      </c>
      <c r="T192">
        <v>79.986999999999995</v>
      </c>
      <c r="U192">
        <v>59.368000000000002</v>
      </c>
      <c r="V192">
        <v>37.277999999999999</v>
      </c>
      <c r="W192">
        <v>14.426</v>
      </c>
      <c r="X192">
        <v>3.0150000000000001</v>
      </c>
      <c r="Y192">
        <v>0.191</v>
      </c>
    </row>
    <row r="193" spans="3:25" x14ac:dyDescent="0.25">
      <c r="C193" t="s">
        <v>310</v>
      </c>
      <c r="D193">
        <v>724</v>
      </c>
      <c r="E193">
        <v>1990.096</v>
      </c>
      <c r="F193">
        <v>2244.3910000000001</v>
      </c>
      <c r="G193">
        <v>2497.9540000000002</v>
      </c>
      <c r="H193">
        <v>2238.123</v>
      </c>
      <c r="I193">
        <v>2255.9090000000001</v>
      </c>
      <c r="J193">
        <v>2361.69</v>
      </c>
      <c r="K193">
        <v>2618.9720000000002</v>
      </c>
      <c r="L193">
        <v>3283.0210000000002</v>
      </c>
      <c r="M193">
        <v>4000.8760000000002</v>
      </c>
      <c r="N193">
        <v>3937.623</v>
      </c>
      <c r="O193">
        <v>3632.2420000000002</v>
      </c>
      <c r="P193">
        <v>3414.085</v>
      </c>
      <c r="Q193">
        <v>2939.3110000000001</v>
      </c>
      <c r="R193">
        <v>2401.3429999999998</v>
      </c>
      <c r="S193">
        <v>2204.15</v>
      </c>
      <c r="T193">
        <v>1811.1559999999999</v>
      </c>
      <c r="U193">
        <v>1288.336</v>
      </c>
      <c r="V193">
        <v>1039.117</v>
      </c>
      <c r="W193">
        <v>471.255</v>
      </c>
      <c r="X193">
        <v>112.05</v>
      </c>
      <c r="Y193">
        <v>13.083</v>
      </c>
    </row>
    <row r="194" spans="3:25" x14ac:dyDescent="0.25">
      <c r="C194" t="s">
        <v>198</v>
      </c>
      <c r="D194">
        <v>40</v>
      </c>
      <c r="E194">
        <v>448.166</v>
      </c>
      <c r="F194">
        <v>426.01600000000002</v>
      </c>
      <c r="G194">
        <v>423.83800000000002</v>
      </c>
      <c r="H194">
        <v>452.37</v>
      </c>
      <c r="I194">
        <v>508.76100000000002</v>
      </c>
      <c r="J194">
        <v>606.61599999999999</v>
      </c>
      <c r="K194">
        <v>620.37400000000002</v>
      </c>
      <c r="L194">
        <v>623.04200000000003</v>
      </c>
      <c r="M194">
        <v>565.68399999999997</v>
      </c>
      <c r="N194">
        <v>612.58100000000002</v>
      </c>
      <c r="O194">
        <v>713.44299999999998</v>
      </c>
      <c r="P194">
        <v>693.55700000000002</v>
      </c>
      <c r="Q194">
        <v>582.36300000000006</v>
      </c>
      <c r="R194">
        <v>450.95699999999999</v>
      </c>
      <c r="S194">
        <v>407.28800000000001</v>
      </c>
      <c r="T194">
        <v>383.149</v>
      </c>
      <c r="U194">
        <v>260.22800000000001</v>
      </c>
      <c r="V194">
        <v>142.47300000000001</v>
      </c>
      <c r="W194">
        <v>67.308999999999997</v>
      </c>
      <c r="X194">
        <v>17.03</v>
      </c>
      <c r="Y194">
        <v>1.155</v>
      </c>
    </row>
    <row r="195" spans="3:25" x14ac:dyDescent="0.25">
      <c r="C195" t="s">
        <v>204</v>
      </c>
      <c r="D195">
        <v>56</v>
      </c>
      <c r="E195">
        <v>633.65300000000002</v>
      </c>
      <c r="F195">
        <v>669.05</v>
      </c>
      <c r="G195">
        <v>671.46900000000005</v>
      </c>
      <c r="H195">
        <v>640.78200000000004</v>
      </c>
      <c r="I195">
        <v>657.702</v>
      </c>
      <c r="J195">
        <v>728.38300000000004</v>
      </c>
      <c r="K195">
        <v>746.19500000000005</v>
      </c>
      <c r="L195">
        <v>757.80200000000002</v>
      </c>
      <c r="M195">
        <v>751.56600000000003</v>
      </c>
      <c r="N195">
        <v>766.87300000000005</v>
      </c>
      <c r="O195">
        <v>795.49199999999996</v>
      </c>
      <c r="P195">
        <v>803.24900000000002</v>
      </c>
      <c r="Q195">
        <v>735.90700000000004</v>
      </c>
      <c r="R195">
        <v>633.96900000000005</v>
      </c>
      <c r="S195">
        <v>555.59799999999996</v>
      </c>
      <c r="T195">
        <v>383.815</v>
      </c>
      <c r="U195">
        <v>320.82400000000001</v>
      </c>
      <c r="V195">
        <v>216.70400000000001</v>
      </c>
      <c r="W195">
        <v>95.034000000000006</v>
      </c>
      <c r="X195">
        <v>23.664000000000001</v>
      </c>
      <c r="Y195">
        <v>1.885</v>
      </c>
    </row>
    <row r="196" spans="3:25" x14ac:dyDescent="0.25">
      <c r="C196" t="s">
        <v>234</v>
      </c>
      <c r="D196">
        <v>250</v>
      </c>
      <c r="E196">
        <v>3619.9870000000001</v>
      </c>
      <c r="F196">
        <v>3907.4870000000001</v>
      </c>
      <c r="G196">
        <v>3995.6880000000001</v>
      </c>
      <c r="H196">
        <v>3887.7890000000002</v>
      </c>
      <c r="I196">
        <v>3697.0189999999998</v>
      </c>
      <c r="J196">
        <v>3674.01</v>
      </c>
      <c r="K196">
        <v>3941.5329999999999</v>
      </c>
      <c r="L196">
        <v>4069.5169999999998</v>
      </c>
      <c r="M196">
        <v>3943.3969999999999</v>
      </c>
      <c r="N196">
        <v>4382.2700000000004</v>
      </c>
      <c r="O196">
        <v>4363.4009999999998</v>
      </c>
      <c r="P196">
        <v>4271.6559999999999</v>
      </c>
      <c r="Q196">
        <v>3973.248</v>
      </c>
      <c r="R196">
        <v>3791.538</v>
      </c>
      <c r="S196">
        <v>3523.616</v>
      </c>
      <c r="T196">
        <v>2204.0880000000002</v>
      </c>
      <c r="U196">
        <v>1812.327</v>
      </c>
      <c r="V196">
        <v>1329.8140000000001</v>
      </c>
      <c r="W196">
        <v>664.899</v>
      </c>
      <c r="X196">
        <v>200.785</v>
      </c>
      <c r="Y196">
        <v>19.443000000000001</v>
      </c>
    </row>
    <row r="197" spans="3:25" x14ac:dyDescent="0.25">
      <c r="C197" t="s">
        <v>236</v>
      </c>
      <c r="D197">
        <v>276</v>
      </c>
      <c r="E197">
        <v>4058.6790000000001</v>
      </c>
      <c r="F197">
        <v>3822.2249999999999</v>
      </c>
      <c r="G197">
        <v>3811.645</v>
      </c>
      <c r="H197">
        <v>4118.9709999999995</v>
      </c>
      <c r="I197">
        <v>4553.4359999999997</v>
      </c>
      <c r="J197">
        <v>4823.9250000000002</v>
      </c>
      <c r="K197">
        <v>5441.8649999999998</v>
      </c>
      <c r="L197">
        <v>5430.1549999999997</v>
      </c>
      <c r="M197">
        <v>5059.6670000000004</v>
      </c>
      <c r="N197">
        <v>5183.6840000000002</v>
      </c>
      <c r="O197">
        <v>6681.2209999999995</v>
      </c>
      <c r="P197">
        <v>6807.1719999999996</v>
      </c>
      <c r="Q197">
        <v>5820.7030000000004</v>
      </c>
      <c r="R197">
        <v>4823.4390000000003</v>
      </c>
      <c r="S197">
        <v>3833.8229999999999</v>
      </c>
      <c r="T197">
        <v>3637.5909999999999</v>
      </c>
      <c r="U197">
        <v>3259.0940000000001</v>
      </c>
      <c r="V197">
        <v>1635.049</v>
      </c>
      <c r="W197">
        <v>758.14700000000005</v>
      </c>
      <c r="X197">
        <v>204.15899999999999</v>
      </c>
      <c r="Y197">
        <v>19.295000000000002</v>
      </c>
    </row>
    <row r="198" spans="3:25" x14ac:dyDescent="0.25">
      <c r="C198" t="s">
        <v>266</v>
      </c>
      <c r="D198">
        <v>442</v>
      </c>
      <c r="E198">
        <v>33.249000000000002</v>
      </c>
      <c r="F198">
        <v>32.656999999999996</v>
      </c>
      <c r="G198">
        <v>31.481000000000002</v>
      </c>
      <c r="H198">
        <v>34.42</v>
      </c>
      <c r="I198">
        <v>39.835000000000001</v>
      </c>
      <c r="J198">
        <v>45.698</v>
      </c>
      <c r="K198">
        <v>49.137999999999998</v>
      </c>
      <c r="L198">
        <v>49.177999999999997</v>
      </c>
      <c r="M198">
        <v>46.555</v>
      </c>
      <c r="N198">
        <v>48.045000000000002</v>
      </c>
      <c r="O198">
        <v>48.183</v>
      </c>
      <c r="P198">
        <v>42.673000000000002</v>
      </c>
      <c r="Q198">
        <v>34.780999999999999</v>
      </c>
      <c r="R198">
        <v>27.341999999999999</v>
      </c>
      <c r="S198">
        <v>22.222999999999999</v>
      </c>
      <c r="T198">
        <v>15.65</v>
      </c>
      <c r="U198">
        <v>12.253</v>
      </c>
      <c r="V198">
        <v>8.375</v>
      </c>
      <c r="W198">
        <v>3.4710000000000001</v>
      </c>
      <c r="X198">
        <v>0.70599999999999996</v>
      </c>
      <c r="Y198">
        <v>6.3E-2</v>
      </c>
    </row>
    <row r="199" spans="3:25" x14ac:dyDescent="0.25">
      <c r="C199" t="s">
        <v>280</v>
      </c>
      <c r="D199">
        <v>528</v>
      </c>
      <c r="E199">
        <v>858.9</v>
      </c>
      <c r="F199">
        <v>893.86300000000006</v>
      </c>
      <c r="G199">
        <v>937.7</v>
      </c>
      <c r="H199">
        <v>1015.992</v>
      </c>
      <c r="I199">
        <v>1020.747</v>
      </c>
      <c r="J199">
        <v>1076.7329999999999</v>
      </c>
      <c r="K199">
        <v>1077.1379999999999</v>
      </c>
      <c r="L199">
        <v>1020.393</v>
      </c>
      <c r="M199">
        <v>1004.922</v>
      </c>
      <c r="N199">
        <v>1146.5139999999999</v>
      </c>
      <c r="O199">
        <v>1273.712</v>
      </c>
      <c r="P199">
        <v>1250.3599999999999</v>
      </c>
      <c r="Q199">
        <v>1124.9570000000001</v>
      </c>
      <c r="R199">
        <v>1004.544</v>
      </c>
      <c r="S199">
        <v>952.44899999999996</v>
      </c>
      <c r="T199">
        <v>639.07500000000005</v>
      </c>
      <c r="U199">
        <v>438.42399999999998</v>
      </c>
      <c r="V199">
        <v>261.75599999999997</v>
      </c>
      <c r="W199">
        <v>106.69499999999999</v>
      </c>
      <c r="X199">
        <v>27.036000000000001</v>
      </c>
      <c r="Y199">
        <v>2.9630000000000001</v>
      </c>
    </row>
    <row r="200" spans="3:25" x14ac:dyDescent="0.25">
      <c r="C200" t="s">
        <v>314</v>
      </c>
      <c r="D200">
        <v>756</v>
      </c>
      <c r="E200">
        <v>451.82900000000001</v>
      </c>
      <c r="F200">
        <v>433.11599999999999</v>
      </c>
      <c r="G200">
        <v>409.66899999999998</v>
      </c>
      <c r="H200">
        <v>425.19799999999998</v>
      </c>
      <c r="I200">
        <v>484.18599999999998</v>
      </c>
      <c r="J200">
        <v>555.54300000000001</v>
      </c>
      <c r="K200">
        <v>597.572</v>
      </c>
      <c r="L200">
        <v>621.65200000000004</v>
      </c>
      <c r="M200">
        <v>570.85500000000002</v>
      </c>
      <c r="N200">
        <v>595.73299999999995</v>
      </c>
      <c r="O200">
        <v>676.75599999999997</v>
      </c>
      <c r="P200">
        <v>643.86599999999999</v>
      </c>
      <c r="Q200">
        <v>535.82299999999998</v>
      </c>
      <c r="R200">
        <v>441.61200000000002</v>
      </c>
      <c r="S200">
        <v>421.51900000000001</v>
      </c>
      <c r="T200">
        <v>330.47399999999999</v>
      </c>
      <c r="U200">
        <v>228.8</v>
      </c>
      <c r="V200">
        <v>144.798</v>
      </c>
      <c r="W200">
        <v>67.468000000000004</v>
      </c>
      <c r="X200">
        <v>16.454000000000001</v>
      </c>
      <c r="Y200">
        <v>1.6950000000000001</v>
      </c>
    </row>
    <row r="201" spans="3:25" x14ac:dyDescent="0.25">
      <c r="C201" t="s">
        <v>217</v>
      </c>
      <c r="D201">
        <v>124</v>
      </c>
      <c r="E201">
        <v>1993.1320000000001</v>
      </c>
      <c r="F201">
        <v>1977.789</v>
      </c>
      <c r="G201">
        <v>1983.001</v>
      </c>
      <c r="H201">
        <v>1988.319</v>
      </c>
      <c r="I201">
        <v>2363.4690000000001</v>
      </c>
      <c r="J201">
        <v>2733.1469999999999</v>
      </c>
      <c r="K201">
        <v>2626.3649999999998</v>
      </c>
      <c r="L201">
        <v>2652.2959999999998</v>
      </c>
      <c r="M201">
        <v>2463.3090000000002</v>
      </c>
      <c r="N201">
        <v>2383.3580000000002</v>
      </c>
      <c r="O201">
        <v>2423.48</v>
      </c>
      <c r="P201">
        <v>2758.953</v>
      </c>
      <c r="Q201">
        <v>2562.5650000000001</v>
      </c>
      <c r="R201">
        <v>2150.1790000000001</v>
      </c>
      <c r="S201">
        <v>1792.8530000000001</v>
      </c>
      <c r="T201">
        <v>1225.8230000000001</v>
      </c>
      <c r="U201">
        <v>814.59699999999998</v>
      </c>
      <c r="V201">
        <v>518.702</v>
      </c>
      <c r="W201">
        <v>252.68100000000001</v>
      </c>
      <c r="X201">
        <v>69.593000000000004</v>
      </c>
      <c r="Y201">
        <v>8.5459999999999994</v>
      </c>
    </row>
    <row r="202" spans="3:25" x14ac:dyDescent="0.25">
      <c r="C202" t="s">
        <v>326</v>
      </c>
      <c r="D202">
        <v>840</v>
      </c>
      <c r="E202">
        <v>19676.331999999999</v>
      </c>
      <c r="F202">
        <v>20045.151999999998</v>
      </c>
      <c r="G202">
        <v>21089.487000000001</v>
      </c>
      <c r="H202">
        <v>21242.907999999999</v>
      </c>
      <c r="I202">
        <v>22258.744999999999</v>
      </c>
      <c r="J202">
        <v>23835.33</v>
      </c>
      <c r="K202">
        <v>23052.478999999999</v>
      </c>
      <c r="L202">
        <v>21615.791000000001</v>
      </c>
      <c r="M202">
        <v>20294.598999999998</v>
      </c>
      <c r="N202">
        <v>20053.797999999999</v>
      </c>
      <c r="O202">
        <v>20577.807000000001</v>
      </c>
      <c r="P202">
        <v>21542.27</v>
      </c>
      <c r="Q202">
        <v>20669.143</v>
      </c>
      <c r="R202">
        <v>17819.026999999998</v>
      </c>
      <c r="S202">
        <v>14354.862999999999</v>
      </c>
      <c r="T202">
        <v>9727.7340000000004</v>
      </c>
      <c r="U202">
        <v>6461.2020000000002</v>
      </c>
      <c r="V202">
        <v>3911.1039999999998</v>
      </c>
      <c r="W202">
        <v>2051.136</v>
      </c>
      <c r="X202">
        <v>626.63599999999997</v>
      </c>
      <c r="Y202">
        <v>97.103999999999999</v>
      </c>
    </row>
  </sheetData>
  <autoFilter ref="C1:Y202" xr:uid="{F0607620-8454-4B2D-9EC0-ACC0C8212245}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C74D757604BFB4297A26F009C924470" ma:contentTypeVersion="10" ma:contentTypeDescription="Create a new document." ma:contentTypeScope="" ma:versionID="d44189a2e134cc5640c09e12062f91e3">
  <xsd:schema xmlns:xsd="http://www.w3.org/2001/XMLSchema" xmlns:xs="http://www.w3.org/2001/XMLSchema" xmlns:p="http://schemas.microsoft.com/office/2006/metadata/properties" xmlns:ns2="a25f4d1c-4ab2-4a93-80b1-1be7ea6a2324" xmlns:ns3="29dc7257-0b17-46d7-8ea1-2dea6c1aa1d5" targetNamespace="http://schemas.microsoft.com/office/2006/metadata/properties" ma:root="true" ma:fieldsID="493efc7f43cb476bfed5724e311dee20" ns2:_="" ns3:_="">
    <xsd:import namespace="a25f4d1c-4ab2-4a93-80b1-1be7ea6a2324"/>
    <xsd:import namespace="29dc7257-0b17-46d7-8ea1-2dea6c1aa1d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5f4d1c-4ab2-4a93-80b1-1be7ea6a23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dc7257-0b17-46d7-8ea1-2dea6c1aa1d5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017E76A-123E-457B-B7D2-AB86C5DD117F}">
  <ds:schemaRefs>
    <ds:schemaRef ds:uri="http://schemas.microsoft.com/office/2006/metadata/properties"/>
    <ds:schemaRef ds:uri="http://www.w3.org/XML/1998/namespace"/>
    <ds:schemaRef ds:uri="29dc7257-0b17-46d7-8ea1-2dea6c1aa1d5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a25f4d1c-4ab2-4a93-80b1-1be7ea6a2324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47B2E6F6-BBE5-4BCA-99D9-A7D4E4564E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5f4d1c-4ab2-4a93-80b1-1be7ea6a2324"/>
    <ds:schemaRef ds:uri="29dc7257-0b17-46d7-8ea1-2dea6c1aa1d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85A6436-B56C-4F8E-8BCB-EBE0F117DB1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21</vt:i4>
      </vt:variant>
    </vt:vector>
  </HeadingPairs>
  <TitlesOfParts>
    <vt:vector size="21" baseType="lpstr">
      <vt:lpstr>Calibrated</vt:lpstr>
      <vt:lpstr>distancing_age</vt:lpstr>
      <vt:lpstr>lag</vt:lpstr>
      <vt:lpstr>demo</vt:lpstr>
      <vt:lpstr>mortality</vt:lpstr>
      <vt:lpstr>birth</vt:lpstr>
      <vt:lpstr>contact</vt:lpstr>
      <vt:lpstr>poi</vt:lpstr>
      <vt:lpstr>variant</vt:lpstr>
      <vt:lpstr>NPI</vt:lpstr>
      <vt:lpstr>disease</vt:lpstr>
      <vt:lpstr>vaccine</vt:lpstr>
      <vt:lpstr>program</vt:lpstr>
      <vt:lpstr>routine_start</vt:lpstr>
      <vt:lpstr>routine</vt:lpstr>
      <vt:lpstr>cohort</vt:lpstr>
      <vt:lpstr>Launch_ctry</vt:lpstr>
      <vt:lpstr>Feuil1</vt:lpstr>
      <vt:lpstr>Launch_vac</vt:lpstr>
      <vt:lpstr>final scenarios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Sheetal Silal</dc:creator>
  <cp:lastModifiedBy>Coudeville, Laurent /FR</cp:lastModifiedBy>
  <cp:lastPrinted>2020-09-11T06:46:31Z</cp:lastPrinted>
  <dcterms:created xsi:type="dcterms:W3CDTF">2019-02-11T10:18:49Z</dcterms:created>
  <dcterms:modified xsi:type="dcterms:W3CDTF">2021-02-22T17:29:41Z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0x010100AC74D757604BFB4297A26F009C924470</vt:lpwstr>
  </property>
</Properties>
</file>